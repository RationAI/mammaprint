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mickiss/Downloads/"/>
    </mc:Choice>
  </mc:AlternateContent>
  <xr:revisionPtr revIDLastSave="0" documentId="13_ncr:1_{F0CB7F0B-378D-9A42-91CC-A85CED57E9A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2024" sheetId="5" r:id="rId1"/>
    <sheet name="2023" sheetId="1" r:id="rId2"/>
  </sheets>
  <definedNames>
    <definedName name="_xlnm._FilterDatabase" localSheetId="1" hidden="1">'2023'!$A$2:$D$418</definedName>
    <definedName name="_xlnm._FilterDatabase" localSheetId="0" hidden="1">'2024'!$A$2:$D$557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8" i="1" l="1"/>
  <c r="F418" i="1" s="1"/>
  <c r="E417" i="1"/>
  <c r="F417" i="1" s="1"/>
  <c r="E416" i="1" l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 l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 l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 l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 l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 l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 l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 l="1"/>
  <c r="F339" i="1" s="1"/>
  <c r="E338" i="1"/>
  <c r="F338" i="1" s="1"/>
  <c r="E328" i="1"/>
  <c r="F328" i="1" s="1"/>
  <c r="E337" i="1"/>
  <c r="F337" i="1" s="1"/>
  <c r="E336" i="1"/>
  <c r="F336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 l="1"/>
  <c r="F329" i="1" s="1"/>
  <c r="E327" i="1"/>
  <c r="F327" i="1" s="1"/>
  <c r="E326" i="1"/>
  <c r="F326" i="1" s="1"/>
  <c r="E325" i="1"/>
  <c r="F325" i="1" s="1"/>
  <c r="E324" i="1"/>
  <c r="F324" i="1" s="1"/>
  <c r="E323" i="1"/>
  <c r="F323" i="1" s="1"/>
  <c r="E321" i="1"/>
  <c r="F321" i="1" s="1"/>
  <c r="E320" i="1"/>
  <c r="F320" i="1" s="1"/>
  <c r="E319" i="1"/>
  <c r="F319" i="1" s="1"/>
  <c r="E318" i="1"/>
  <c r="F318" i="1" s="1"/>
  <c r="E317" i="1" l="1"/>
  <c r="F317" i="1" s="1"/>
  <c r="E316" i="1" l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4" i="1"/>
  <c r="F304" i="1" s="1"/>
  <c r="E296" i="1" l="1"/>
  <c r="F296" i="1" s="1"/>
  <c r="E309" i="1" l="1"/>
  <c r="F309" i="1" s="1"/>
  <c r="E308" i="1"/>
  <c r="F308" i="1" s="1"/>
  <c r="E307" i="1"/>
  <c r="F307" i="1" s="1"/>
  <c r="E306" i="1"/>
  <c r="F306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5" i="1"/>
  <c r="F295" i="1" s="1"/>
  <c r="E288" i="1"/>
  <c r="F288" i="1" s="1"/>
  <c r="E291" i="1" l="1"/>
  <c r="E294" i="1" l="1"/>
  <c r="F294" i="1" s="1"/>
  <c r="E293" i="1"/>
  <c r="F293" i="1" s="1"/>
  <c r="E292" i="1"/>
  <c r="F292" i="1" s="1"/>
  <c r="F291" i="1"/>
  <c r="E290" i="1"/>
  <c r="F290" i="1" s="1"/>
  <c r="E287" i="1"/>
  <c r="F287" i="1" s="1"/>
  <c r="E286" i="1" l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64" i="1" l="1"/>
  <c r="F264" i="1" s="1"/>
  <c r="E277" i="1" l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3" i="1"/>
  <c r="F263" i="1" s="1"/>
  <c r="E262" i="1" l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35" i="1" l="1"/>
  <c r="E254" i="1" l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147" i="1"/>
  <c r="F147" i="1" s="1"/>
  <c r="F235" i="1" l="1"/>
  <c r="E173" i="1"/>
  <c r="F173" i="1" s="1"/>
  <c r="E241" i="1" l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24" i="1" l="1"/>
  <c r="E209" i="1"/>
  <c r="E210" i="1"/>
  <c r="E203" i="1" l="1"/>
  <c r="F203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F224" i="1"/>
  <c r="E204" i="1"/>
  <c r="E205" i="1"/>
  <c r="E207" i="1"/>
  <c r="E208" i="1"/>
  <c r="F210" i="1"/>
  <c r="E200" i="1" l="1"/>
  <c r="F200" i="1" s="1"/>
  <c r="F209" i="1"/>
  <c r="F208" i="1"/>
  <c r="F207" i="1"/>
  <c r="E206" i="1"/>
  <c r="F206" i="1" s="1"/>
  <c r="F205" i="1"/>
  <c r="F204" i="1"/>
  <c r="E202" i="1" l="1"/>
  <c r="F202" i="1" s="1"/>
  <c r="E201" i="1"/>
  <c r="F201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87" i="1" l="1"/>
  <c r="F187" i="1" s="1"/>
  <c r="E188" i="1"/>
  <c r="F188" i="1" s="1"/>
  <c r="E189" i="1"/>
  <c r="F189" i="1" s="1"/>
  <c r="E190" i="1"/>
  <c r="F190" i="1" s="1"/>
  <c r="E186" i="1" l="1"/>
  <c r="F186" i="1" s="1"/>
  <c r="E185" i="1"/>
  <c r="F185" i="1" s="1"/>
  <c r="E184" i="1"/>
  <c r="F184" i="1" s="1"/>
  <c r="E172" i="1" l="1"/>
  <c r="F172" i="1" s="1"/>
  <c r="E183" i="1" l="1"/>
  <c r="F183" i="1" s="1"/>
  <c r="E182" i="1" l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1" i="1"/>
  <c r="F171" i="1" s="1"/>
  <c r="E170" i="1"/>
  <c r="F170" i="1" s="1"/>
  <c r="E169" i="1" l="1"/>
  <c r="F169" i="1" s="1"/>
  <c r="E167" i="1"/>
  <c r="F167" i="1" s="1"/>
  <c r="E165" i="1"/>
  <c r="F165" i="1" s="1"/>
  <c r="E166" i="1" l="1"/>
  <c r="F166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C148" i="1" l="1"/>
  <c r="C149" i="1"/>
  <c r="C150" i="1"/>
  <c r="C151" i="1"/>
  <c r="C152" i="1"/>
  <c r="C153" i="1"/>
  <c r="C154" i="1"/>
  <c r="C145" i="1"/>
  <c r="E154" i="1" l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6" i="1"/>
  <c r="F146" i="1" s="1"/>
  <c r="E145" i="1"/>
  <c r="F145" i="1" s="1"/>
  <c r="C144" i="1" l="1"/>
  <c r="C135" i="1"/>
  <c r="C136" i="1"/>
  <c r="C137" i="1"/>
  <c r="C138" i="1"/>
  <c r="C139" i="1"/>
  <c r="C140" i="1"/>
  <c r="C141" i="1"/>
  <c r="C142" i="1"/>
  <c r="C143" i="1"/>
  <c r="C134" i="1"/>
  <c r="C133" i="1"/>
  <c r="E133" i="1"/>
  <c r="E144" i="1" l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F133" i="1"/>
  <c r="E132" i="1" l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2" i="1" l="1"/>
  <c r="F122" i="1" s="1"/>
  <c r="E123" i="1"/>
  <c r="F123" i="1" s="1"/>
  <c r="E124" i="1"/>
  <c r="F124" i="1" s="1"/>
  <c r="E125" i="1"/>
  <c r="F125" i="1" s="1"/>
  <c r="E126" i="1"/>
  <c r="F126" i="1" s="1"/>
  <c r="E121" i="1"/>
  <c r="F121" i="1" s="1"/>
  <c r="E120" i="1"/>
  <c r="F120" i="1" s="1"/>
  <c r="E119" i="1"/>
  <c r="F119" i="1" s="1"/>
  <c r="E118" i="1"/>
  <c r="F118" i="1" s="1"/>
  <c r="E117" i="1"/>
  <c r="F117" i="1" s="1"/>
  <c r="E93" i="1" l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16" i="1"/>
  <c r="F116" i="1" s="1"/>
  <c r="E115" i="1"/>
  <c r="F115" i="1" s="1"/>
  <c r="E114" i="1"/>
  <c r="F114" i="1" s="1"/>
  <c r="E80" i="1"/>
  <c r="F80" i="1" s="1"/>
  <c r="E79" i="1"/>
  <c r="F79" i="1" s="1"/>
  <c r="E104" i="1" l="1"/>
  <c r="F104" i="1" s="1"/>
  <c r="E113" i="1"/>
  <c r="F113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92" i="1"/>
  <c r="F92" i="1" s="1"/>
</calcChain>
</file>

<file path=xl/sharedStrings.xml><?xml version="1.0" encoding="utf-8"?>
<sst xmlns="http://schemas.openxmlformats.org/spreadsheetml/2006/main" count="2167" uniqueCount="1040">
  <si>
    <t>Číslo
záznamu</t>
  </si>
  <si>
    <t>2023/835</t>
  </si>
  <si>
    <t>2023/836</t>
  </si>
  <si>
    <t>2023/837</t>
  </si>
  <si>
    <t>2023/838</t>
  </si>
  <si>
    <t>2023/839</t>
  </si>
  <si>
    <t>2023/840</t>
  </si>
  <si>
    <t>2023/846</t>
  </si>
  <si>
    <t>2023/847</t>
  </si>
  <si>
    <t>2023/884</t>
  </si>
  <si>
    <t>Mammaprint index</t>
  </si>
  <si>
    <t>Typ</t>
  </si>
  <si>
    <t>B Luminal</t>
  </si>
  <si>
    <t>A Luminal</t>
  </si>
  <si>
    <t>2023/939</t>
  </si>
  <si>
    <t>2023/945</t>
  </si>
  <si>
    <t>2023/946</t>
  </si>
  <si>
    <t>2023/949</t>
  </si>
  <si>
    <t>2023/966</t>
  </si>
  <si>
    <t>2023/969</t>
  </si>
  <si>
    <t>2023/974</t>
  </si>
  <si>
    <t>2023/1000</t>
  </si>
  <si>
    <t>2023/1001</t>
  </si>
  <si>
    <t>2023/1002</t>
  </si>
  <si>
    <t>2023/1003</t>
  </si>
  <si>
    <t>2023/1004</t>
  </si>
  <si>
    <t>2023/1005</t>
  </si>
  <si>
    <t>2023/1006</t>
  </si>
  <si>
    <t>2023/1007</t>
  </si>
  <si>
    <t>2023/1036</t>
  </si>
  <si>
    <t>2023/1051</t>
  </si>
  <si>
    <t>2023/1085</t>
  </si>
  <si>
    <t>2023/1086</t>
  </si>
  <si>
    <t>2023/1108</t>
  </si>
  <si>
    <t>2023/1109</t>
  </si>
  <si>
    <t>2023/1122</t>
  </si>
  <si>
    <t>2023/1974</t>
  </si>
  <si>
    <t>2023/1141</t>
  </si>
  <si>
    <t>2023/1152</t>
  </si>
  <si>
    <t>2023/1154</t>
  </si>
  <si>
    <t>2023/1155</t>
  </si>
  <si>
    <t>2023/1156</t>
  </si>
  <si>
    <t>2023/1182</t>
  </si>
  <si>
    <t>2023/1183</t>
  </si>
  <si>
    <t>2023/1184</t>
  </si>
  <si>
    <t>2023/1197</t>
  </si>
  <si>
    <t>2023/1207</t>
  </si>
  <si>
    <t>2023/1208</t>
  </si>
  <si>
    <t>2023/1211</t>
  </si>
  <si>
    <t>2023/2960</t>
  </si>
  <si>
    <t>2023/1236</t>
  </si>
  <si>
    <t>2023/2674</t>
  </si>
  <si>
    <t>2023/1237</t>
  </si>
  <si>
    <t>2023/1242</t>
  </si>
  <si>
    <t>2023/1244</t>
  </si>
  <si>
    <t>opakovaná izolace</t>
  </si>
  <si>
    <t>2023/1268</t>
  </si>
  <si>
    <t>2023/1287</t>
  </si>
  <si>
    <t>2023/1290</t>
  </si>
  <si>
    <t>2023/1294</t>
  </si>
  <si>
    <t>2023/1308</t>
  </si>
  <si>
    <t>2023/1331</t>
  </si>
  <si>
    <t>2023/1332</t>
  </si>
  <si>
    <t>2023/1342</t>
  </si>
  <si>
    <t>nevhodné</t>
  </si>
  <si>
    <t>2023/1356</t>
  </si>
  <si>
    <t>2023/1357</t>
  </si>
  <si>
    <t>2023/1370</t>
  </si>
  <si>
    <t>failed po sekvenaci</t>
  </si>
  <si>
    <t>nevyšetřeno</t>
  </si>
  <si>
    <t>2023/1385</t>
  </si>
  <si>
    <t>2023/1400</t>
  </si>
  <si>
    <t>2023/1416</t>
  </si>
  <si>
    <t>2023/1417</t>
  </si>
  <si>
    <t>2023/1436</t>
  </si>
  <si>
    <t>2023/1437</t>
  </si>
  <si>
    <t>2023/1447</t>
  </si>
  <si>
    <t>2023/1448</t>
  </si>
  <si>
    <t>2023/1452</t>
  </si>
  <si>
    <t>2023/1453</t>
  </si>
  <si>
    <t>2023/1454</t>
  </si>
  <si>
    <t>2023/2961</t>
  </si>
  <si>
    <t>2023/1462</t>
  </si>
  <si>
    <t>2023/1466</t>
  </si>
  <si>
    <t>2023/3715</t>
  </si>
  <si>
    <t>2023/1467</t>
  </si>
  <si>
    <t>2023/1473</t>
  </si>
  <si>
    <t>2023/1485</t>
  </si>
  <si>
    <t>2023/1486</t>
  </si>
  <si>
    <t>2023/1507</t>
  </si>
  <si>
    <t>2023/1532</t>
  </si>
  <si>
    <t>nelze</t>
  </si>
  <si>
    <t>2023/1590</t>
  </si>
  <si>
    <t>2023/1591</t>
  </si>
  <si>
    <t>2023/1597</t>
  </si>
  <si>
    <t>2023/1599</t>
  </si>
  <si>
    <t>2023/1634</t>
  </si>
  <si>
    <t>2023/1648</t>
  </si>
  <si>
    <t>2023/1649</t>
  </si>
  <si>
    <t>2023/1651</t>
  </si>
  <si>
    <t>2023/1656</t>
  </si>
  <si>
    <t>2023/1660</t>
  </si>
  <si>
    <t>2023/1661</t>
  </si>
  <si>
    <t>opakovaná izolace z jiného bloku</t>
  </si>
  <si>
    <t>2023/1691</t>
  </si>
  <si>
    <t>2023/1692</t>
  </si>
  <si>
    <t>2023/1704</t>
  </si>
  <si>
    <t>2023/1715</t>
  </si>
  <si>
    <t>2023/1716</t>
  </si>
  <si>
    <t>2023/1717</t>
  </si>
  <si>
    <t>2023/1718</t>
  </si>
  <si>
    <t>2023/1735</t>
  </si>
  <si>
    <t>2023/1736</t>
  </si>
  <si>
    <t>2023/1737</t>
  </si>
  <si>
    <t>2023/1770</t>
  </si>
  <si>
    <t>2023/1782</t>
  </si>
  <si>
    <t>2023/1801</t>
  </si>
  <si>
    <t>2023/1838</t>
  </si>
  <si>
    <t>2023/1840</t>
  </si>
  <si>
    <t>2023/1841</t>
  </si>
  <si>
    <t>2023/1863</t>
  </si>
  <si>
    <t>2023/1864</t>
  </si>
  <si>
    <t>2023/1865</t>
  </si>
  <si>
    <t>2023/1913</t>
  </si>
  <si>
    <t>2023/1914</t>
  </si>
  <si>
    <t>2023/1915</t>
  </si>
  <si>
    <t>2023/1916</t>
  </si>
  <si>
    <t>nekroza</t>
  </si>
  <si>
    <t>2023/1948</t>
  </si>
  <si>
    <t>2023/1952</t>
  </si>
  <si>
    <t>2023/1972</t>
  </si>
  <si>
    <t>2023/1973</t>
  </si>
  <si>
    <t>2023/1975</t>
  </si>
  <si>
    <t>2023/2007</t>
  </si>
  <si>
    <t>2023/2024</t>
  </si>
  <si>
    <t>2023/2025</t>
  </si>
  <si>
    <t>2023/2057</t>
  </si>
  <si>
    <t>2023/2059</t>
  </si>
  <si>
    <t>2023/2060</t>
  </si>
  <si>
    <t>2023/2064</t>
  </si>
  <si>
    <t>2023/2070</t>
  </si>
  <si>
    <t>2023/2071</t>
  </si>
  <si>
    <t>2023/2072</t>
  </si>
  <si>
    <t>2023/2083</t>
  </si>
  <si>
    <t>2023/2086</t>
  </si>
  <si>
    <t>2023/2113</t>
  </si>
  <si>
    <t>2023/2114</t>
  </si>
  <si>
    <t>2023/2129</t>
  </si>
  <si>
    <t>2023/2130</t>
  </si>
  <si>
    <t>2023/2151</t>
  </si>
  <si>
    <t>2023/2158</t>
  </si>
  <si>
    <t>2023/2166</t>
  </si>
  <si>
    <t>2023/2201</t>
  </si>
  <si>
    <t>2023/2203</t>
  </si>
  <si>
    <t>2023/2237</t>
  </si>
  <si>
    <t>2023/2262</t>
  </si>
  <si>
    <t>2023/2263</t>
  </si>
  <si>
    <t>2023/2264</t>
  </si>
  <si>
    <t>2023/2277</t>
  </si>
  <si>
    <t>2023/2278</t>
  </si>
  <si>
    <t>2023/2286</t>
  </si>
  <si>
    <t>2023/2287</t>
  </si>
  <si>
    <t>2023/2297</t>
  </si>
  <si>
    <t>2023/2298</t>
  </si>
  <si>
    <t>2023/2304</t>
  </si>
  <si>
    <t>2023/2318</t>
  </si>
  <si>
    <t>2023/2319</t>
  </si>
  <si>
    <t>2023/2353</t>
  </si>
  <si>
    <t>2023/2354</t>
  </si>
  <si>
    <t>2023/2362</t>
  </si>
  <si>
    <t>2023/2363</t>
  </si>
  <si>
    <t>2023/2370</t>
  </si>
  <si>
    <t>2023/2385</t>
  </si>
  <si>
    <t xml:space="preserve">2023/2298 </t>
  </si>
  <si>
    <t>2023/2390</t>
  </si>
  <si>
    <t>2023/2393</t>
  </si>
  <si>
    <t>2023/2394</t>
  </si>
  <si>
    <t>2023/2395</t>
  </si>
  <si>
    <t>2023/2401</t>
  </si>
  <si>
    <t>2023/2402</t>
  </si>
  <si>
    <t>2023/2443</t>
  </si>
  <si>
    <t>2023/2444</t>
  </si>
  <si>
    <t>2023/2453</t>
  </si>
  <si>
    <t>2023/2458</t>
  </si>
  <si>
    <t>2023/2459</t>
  </si>
  <si>
    <t>není tumor, bude nový blok</t>
  </si>
  <si>
    <t>2023/2481</t>
  </si>
  <si>
    <t>2023/2482</t>
  </si>
  <si>
    <t>2023/2485</t>
  </si>
  <si>
    <t>2023/2493</t>
  </si>
  <si>
    <t>2023/2495</t>
  </si>
  <si>
    <t>2023/2496</t>
  </si>
  <si>
    <t>2023/2504</t>
  </si>
  <si>
    <t>2023/3907</t>
  </si>
  <si>
    <t>2023/2534</t>
  </si>
  <si>
    <t>2023/2535</t>
  </si>
  <si>
    <t>2023/2548</t>
  </si>
  <si>
    <t>2023/2550</t>
  </si>
  <si>
    <t>bude nová izolace z více řezů</t>
  </si>
  <si>
    <t>2023/2597</t>
  </si>
  <si>
    <t>2023/2600</t>
  </si>
  <si>
    <t>2023/2601</t>
  </si>
  <si>
    <t>2023/2615</t>
  </si>
  <si>
    <t>2023/2617</t>
  </si>
  <si>
    <t>2023/3242</t>
  </si>
  <si>
    <t>2023/2619</t>
  </si>
  <si>
    <t>2023/2620</t>
  </si>
  <si>
    <t>2023/2621</t>
  </si>
  <si>
    <t xml:space="preserve">2023/2535 </t>
  </si>
  <si>
    <t>2023/2656</t>
  </si>
  <si>
    <t>2023/2659</t>
  </si>
  <si>
    <t>2023/2660</t>
  </si>
  <si>
    <t>2023/2661</t>
  </si>
  <si>
    <t>2023/2662</t>
  </si>
  <si>
    <t>2023/2689</t>
  </si>
  <si>
    <t>2023/2699</t>
  </si>
  <si>
    <t>2023/2701</t>
  </si>
  <si>
    <t>2023/2702</t>
  </si>
  <si>
    <t>2023/2703</t>
  </si>
  <si>
    <t>2023/2704</t>
  </si>
  <si>
    <t>2023/2712</t>
  </si>
  <si>
    <t>2023/2713</t>
  </si>
  <si>
    <t>2023/2720</t>
  </si>
  <si>
    <t>2023/2734</t>
  </si>
  <si>
    <t>2023/2735</t>
  </si>
  <si>
    <t>2023/2737</t>
  </si>
  <si>
    <t>2023/2745</t>
  </si>
  <si>
    <t>2023/2746</t>
  </si>
  <si>
    <t>2023/2764</t>
  </si>
  <si>
    <t>2023/2768</t>
  </si>
  <si>
    <t>2023/2770</t>
  </si>
  <si>
    <t>2023/2800</t>
  </si>
  <si>
    <t>2023/2801</t>
  </si>
  <si>
    <t>2023/2836</t>
  </si>
  <si>
    <t>2023/2838</t>
  </si>
  <si>
    <t>2023/2840</t>
  </si>
  <si>
    <t>2023/2856</t>
  </si>
  <si>
    <t>2023/2862</t>
  </si>
  <si>
    <t>2023/2863</t>
  </si>
  <si>
    <t>2023/2864</t>
  </si>
  <si>
    <t>2023/2883</t>
  </si>
  <si>
    <t>2023/2893</t>
  </si>
  <si>
    <t>2023/2900</t>
  </si>
  <si>
    <t xml:space="preserve">nelze </t>
  </si>
  <si>
    <t>specialista</t>
  </si>
  <si>
    <t>2023/2906</t>
  </si>
  <si>
    <t>2023/2912</t>
  </si>
  <si>
    <t>2023/2914</t>
  </si>
  <si>
    <t>2023/2916</t>
  </si>
  <si>
    <t>2023/2942</t>
  </si>
  <si>
    <t>2023/2943</t>
  </si>
  <si>
    <t>2023/2944</t>
  </si>
  <si>
    <t>2023/2965</t>
  </si>
  <si>
    <t>2023/2967</t>
  </si>
  <si>
    <t>2023/2979</t>
  </si>
  <si>
    <t>2023/2980</t>
  </si>
  <si>
    <t>2023/2982</t>
  </si>
  <si>
    <t>2023/2990</t>
  </si>
  <si>
    <t>2023/3019</t>
  </si>
  <si>
    <t>2023/3020</t>
  </si>
  <si>
    <t>2023/3021</t>
  </si>
  <si>
    <t>2023/3023</t>
  </si>
  <si>
    <t>2023/3024</t>
  </si>
  <si>
    <t>2023/3032</t>
  </si>
  <si>
    <t>2023/3036</t>
  </si>
  <si>
    <t>2023/3037</t>
  </si>
  <si>
    <t>2023/3059</t>
  </si>
  <si>
    <t>2023/3060</t>
  </si>
  <si>
    <t>2023/3061</t>
  </si>
  <si>
    <t>2023/3062</t>
  </si>
  <si>
    <t>2023/3063</t>
  </si>
  <si>
    <t>2023/3064</t>
  </si>
  <si>
    <t>2023/3079</t>
  </si>
  <si>
    <t>2023/3098</t>
  </si>
  <si>
    <t>2023/3105</t>
  </si>
  <si>
    <t>2023/3130</t>
  </si>
  <si>
    <t>2023/3131</t>
  </si>
  <si>
    <t>2023/3154</t>
  </si>
  <si>
    <t>2023/3155</t>
  </si>
  <si>
    <t>2023/3156</t>
  </si>
  <si>
    <t>2023/3157</t>
  </si>
  <si>
    <t>2023/3221</t>
  </si>
  <si>
    <t>2023/3241</t>
  </si>
  <si>
    <t>2023/3243</t>
  </si>
  <si>
    <t>2023/3256</t>
  </si>
  <si>
    <t>2023/3269</t>
  </si>
  <si>
    <t>2023/3270</t>
  </si>
  <si>
    <t>2023/3291</t>
  </si>
  <si>
    <t>2023/3292</t>
  </si>
  <si>
    <t>2023/3309</t>
  </si>
  <si>
    <t>2023/3310</t>
  </si>
  <si>
    <t>2023/3314</t>
  </si>
  <si>
    <t>2023/3315</t>
  </si>
  <si>
    <t>2023/3318</t>
  </si>
  <si>
    <t>2023/3320</t>
  </si>
  <si>
    <t>2023/3350</t>
  </si>
  <si>
    <t>2023/3358</t>
  </si>
  <si>
    <t>2023/3206 II</t>
  </si>
  <si>
    <t>2023/3369</t>
  </si>
  <si>
    <t>2023/3370</t>
  </si>
  <si>
    <t>2023/3393</t>
  </si>
  <si>
    <t>2023/3394</t>
  </si>
  <si>
    <t>2023/3395</t>
  </si>
  <si>
    <t>2023/3435</t>
  </si>
  <si>
    <t>vyšetřeno</t>
  </si>
  <si>
    <t>2023/3470</t>
  </si>
  <si>
    <t>2023/3479</t>
  </si>
  <si>
    <t>2023/3492</t>
  </si>
  <si>
    <t>2023/3493</t>
  </si>
  <si>
    <t>2023/3494</t>
  </si>
  <si>
    <t>2023/3500</t>
  </si>
  <si>
    <t>2023/3517</t>
  </si>
  <si>
    <t>2023/3518</t>
  </si>
  <si>
    <t>2023/3525</t>
  </si>
  <si>
    <t>2023/3526</t>
  </si>
  <si>
    <t>no result</t>
  </si>
  <si>
    <t>failed po sekvenaci (Additional NGS Quality)</t>
  </si>
  <si>
    <t>horší amplifikace, sekvenováno</t>
  </si>
  <si>
    <t>Agendia</t>
  </si>
  <si>
    <t>disekce</t>
  </si>
  <si>
    <t xml:space="preserve">opakovaná izolace </t>
  </si>
  <si>
    <t>2023/3222</t>
  </si>
  <si>
    <t>2023/3534</t>
  </si>
  <si>
    <t>2023/3536</t>
  </si>
  <si>
    <t>2023/3537</t>
  </si>
  <si>
    <t>2023/3558</t>
  </si>
  <si>
    <t>2023/3578</t>
  </si>
  <si>
    <t>2023/3579</t>
  </si>
  <si>
    <t>2023/3615</t>
  </si>
  <si>
    <t>2023/3617</t>
  </si>
  <si>
    <t>2023/3618</t>
  </si>
  <si>
    <t>neamplifikuje se, nesekvenováno</t>
  </si>
  <si>
    <t>opakovaná izolace, nenasazeno</t>
  </si>
  <si>
    <t>horší amplifikace, opakovaná izolace</t>
  </si>
  <si>
    <t>prošlo</t>
  </si>
  <si>
    <t>failed po sekvenaci (Maped)</t>
  </si>
  <si>
    <t>horší amplifikace, nesekvenováno</t>
  </si>
  <si>
    <t>odesláno Agendia</t>
  </si>
  <si>
    <t xml:space="preserve">2023/3206 </t>
  </si>
  <si>
    <t>horší amplifikace, odesláno Agendia</t>
  </si>
  <si>
    <t>2023/3206</t>
  </si>
  <si>
    <t xml:space="preserve">2023/3310 </t>
  </si>
  <si>
    <t>2023/3652</t>
  </si>
  <si>
    <t>2023/3653</t>
  </si>
  <si>
    <t>2023/3654</t>
  </si>
  <si>
    <t>2023/3664</t>
  </si>
  <si>
    <t>2023/3665</t>
  </si>
  <si>
    <t>2023/3677</t>
  </si>
  <si>
    <t>2023/3691</t>
  </si>
  <si>
    <t>2023/3693</t>
  </si>
  <si>
    <t>2023/3714</t>
  </si>
  <si>
    <r>
      <t>2023/</t>
    </r>
    <r>
      <rPr>
        <b/>
        <sz val="11"/>
        <color rgb="FFFF0000"/>
        <rFont val="Calibri"/>
        <family val="2"/>
        <charset val="238"/>
        <scheme val="minor"/>
      </rPr>
      <t>3716</t>
    </r>
  </si>
  <si>
    <r>
      <t>2023/</t>
    </r>
    <r>
      <rPr>
        <b/>
        <sz val="11"/>
        <color rgb="FFFF0000"/>
        <rFont val="Calibri"/>
        <family val="2"/>
        <charset val="238"/>
        <scheme val="minor"/>
      </rPr>
      <t>3717</t>
    </r>
  </si>
  <si>
    <t>2023/3724</t>
  </si>
  <si>
    <t>2023/3726</t>
  </si>
  <si>
    <t>2023/3727</t>
  </si>
  <si>
    <t>2023/3729</t>
  </si>
  <si>
    <t>2023/3745</t>
  </si>
  <si>
    <t>2023/3758</t>
  </si>
  <si>
    <t>2023/3759</t>
  </si>
  <si>
    <t>2023/3768</t>
  </si>
  <si>
    <t>2023/3787</t>
  </si>
  <si>
    <t>2023/3789</t>
  </si>
  <si>
    <t>výsledek z Agendie</t>
  </si>
  <si>
    <t>2023/3795</t>
  </si>
  <si>
    <t>2023/3803</t>
  </si>
  <si>
    <t>2023/3827</t>
  </si>
  <si>
    <t>2023/3828</t>
  </si>
  <si>
    <t>2023/3847</t>
  </si>
  <si>
    <t>2023/3858</t>
  </si>
  <si>
    <t>2023/3859</t>
  </si>
  <si>
    <t>2023/3868</t>
  </si>
  <si>
    <t>2023/3871</t>
  </si>
  <si>
    <t>2023/3894</t>
  </si>
  <si>
    <t>2023/3905</t>
  </si>
  <si>
    <t>2023/3909</t>
  </si>
  <si>
    <t>2023/3940</t>
  </si>
  <si>
    <t>2023/3943</t>
  </si>
  <si>
    <t>2023/3944</t>
  </si>
  <si>
    <t>2023/3950</t>
  </si>
  <si>
    <t>2023/3951</t>
  </si>
  <si>
    <t>2023/3952</t>
  </si>
  <si>
    <t>2023/3953</t>
  </si>
  <si>
    <t>2023/3957</t>
  </si>
  <si>
    <t>hraniční skóre</t>
  </si>
  <si>
    <t>2023/3979</t>
  </si>
  <si>
    <t>2023/3980</t>
  </si>
  <si>
    <t>2023/3991</t>
  </si>
  <si>
    <t>2023/3992</t>
  </si>
  <si>
    <t>2023/3993</t>
  </si>
  <si>
    <t>2023/4008</t>
  </si>
  <si>
    <t>2023/4019</t>
  </si>
  <si>
    <t>2023/4043</t>
  </si>
  <si>
    <t>2023/4044</t>
  </si>
  <si>
    <t>2023/4045</t>
  </si>
  <si>
    <t>2023/4046</t>
  </si>
  <si>
    <t>ultra low risk</t>
  </si>
  <si>
    <t>2023/4079</t>
  </si>
  <si>
    <t>2023/4102</t>
  </si>
  <si>
    <t>2023/4103</t>
  </si>
  <si>
    <t>2023/4104</t>
  </si>
  <si>
    <t>2023/4112</t>
  </si>
  <si>
    <t>2023/4116</t>
  </si>
  <si>
    <t>2023/4117</t>
  </si>
  <si>
    <t>2023/4118</t>
  </si>
  <si>
    <t>2023/4131</t>
  </si>
  <si>
    <t>2023/4132</t>
  </si>
  <si>
    <t>2023/4133</t>
  </si>
  <si>
    <t>2023/4134</t>
  </si>
  <si>
    <t>2023/4135</t>
  </si>
  <si>
    <t>2023/4136</t>
  </si>
  <si>
    <t>2023/4161</t>
  </si>
  <si>
    <t>2023/4163</t>
  </si>
  <si>
    <t>2023/4165</t>
  </si>
  <si>
    <t>2023/4166</t>
  </si>
  <si>
    <t>2023/4167</t>
  </si>
  <si>
    <t>2023/4173</t>
  </si>
  <si>
    <t>2023/4178</t>
  </si>
  <si>
    <t>2023/4187</t>
  </si>
  <si>
    <r>
      <t>2023/</t>
    </r>
    <r>
      <rPr>
        <b/>
        <sz val="11"/>
        <color rgb="FFFF0000"/>
        <rFont val="Calibri"/>
        <family val="2"/>
        <charset val="238"/>
        <scheme val="minor"/>
      </rPr>
      <t>4169</t>
    </r>
  </si>
  <si>
    <t>2023/4199</t>
  </si>
  <si>
    <t>2023/4200</t>
  </si>
  <si>
    <t>2024/4</t>
  </si>
  <si>
    <t>2024/15</t>
  </si>
  <si>
    <t>Basal Type</t>
  </si>
  <si>
    <t>2024/29</t>
  </si>
  <si>
    <t>2024/57</t>
  </si>
  <si>
    <t>2024/58</t>
  </si>
  <si>
    <t>2024/59</t>
  </si>
  <si>
    <t>2024/60</t>
  </si>
  <si>
    <t>2024/70</t>
  </si>
  <si>
    <t>2024/81</t>
  </si>
  <si>
    <t>2024/82</t>
  </si>
  <si>
    <t>2024/99</t>
  </si>
  <si>
    <t>2024/100</t>
  </si>
  <si>
    <t>2024/102</t>
  </si>
  <si>
    <t>2024/125</t>
  </si>
  <si>
    <t>2024/126</t>
  </si>
  <si>
    <t>2024/134</t>
  </si>
  <si>
    <t>2024/135</t>
  </si>
  <si>
    <t>2024/136</t>
  </si>
  <si>
    <t>2024/143</t>
  </si>
  <si>
    <t>2024/169</t>
  </si>
  <si>
    <t>2024/170</t>
  </si>
  <si>
    <t>2024/193</t>
  </si>
  <si>
    <t>2024/194</t>
  </si>
  <si>
    <t xml:space="preserve">2024/196 </t>
  </si>
  <si>
    <t>2024/208</t>
  </si>
  <si>
    <t>2024/209</t>
  </si>
  <si>
    <t>2024/210</t>
  </si>
  <si>
    <t>2024/211</t>
  </si>
  <si>
    <t>2024/213</t>
  </si>
  <si>
    <t>výsledek Agendia</t>
  </si>
  <si>
    <t>2024/230</t>
  </si>
  <si>
    <t>2024/231</t>
  </si>
  <si>
    <t>2024/232</t>
  </si>
  <si>
    <t>2024/235</t>
  </si>
  <si>
    <t>2024/249</t>
  </si>
  <si>
    <t>2024/250</t>
  </si>
  <si>
    <t>2024/251</t>
  </si>
  <si>
    <t>2024/266</t>
  </si>
  <si>
    <t>2024/267</t>
  </si>
  <si>
    <t>2024/292</t>
  </si>
  <si>
    <t>2024/299</t>
  </si>
  <si>
    <t>2024/300</t>
  </si>
  <si>
    <t>2024/313</t>
  </si>
  <si>
    <t>2024/314</t>
  </si>
  <si>
    <t>2024/322</t>
  </si>
  <si>
    <t>2024/323</t>
  </si>
  <si>
    <t>2024/324</t>
  </si>
  <si>
    <t>2024/348</t>
  </si>
  <si>
    <t>2024/350</t>
  </si>
  <si>
    <t>2024/358</t>
  </si>
  <si>
    <t>2024/359</t>
  </si>
  <si>
    <t>2024/360</t>
  </si>
  <si>
    <t>2024/361</t>
  </si>
  <si>
    <t>2024/362</t>
  </si>
  <si>
    <t>2024/366</t>
  </si>
  <si>
    <t>2024/384</t>
  </si>
  <si>
    <t>2024/385</t>
  </si>
  <si>
    <t>2024/386</t>
  </si>
  <si>
    <t>2024/387</t>
  </si>
  <si>
    <t>2024/405</t>
  </si>
  <si>
    <t>2024/406</t>
  </si>
  <si>
    <t>2024/442</t>
  </si>
  <si>
    <t>2024/443</t>
  </si>
  <si>
    <t>2024/444</t>
  </si>
  <si>
    <t>2024/457</t>
  </si>
  <si>
    <t>2024/481</t>
  </si>
  <si>
    <t>2024/482</t>
  </si>
  <si>
    <t>2024/483</t>
  </si>
  <si>
    <t>2024/503</t>
  </si>
  <si>
    <t>2024/504</t>
  </si>
  <si>
    <t>2024/505</t>
  </si>
  <si>
    <t>2024/506</t>
  </si>
  <si>
    <t>2024/525</t>
  </si>
  <si>
    <t>2024/526</t>
  </si>
  <si>
    <t>2024/528</t>
  </si>
  <si>
    <t>2024/536</t>
  </si>
  <si>
    <t>2024/537</t>
  </si>
  <si>
    <t>2024/704</t>
  </si>
  <si>
    <t>2024/538</t>
  </si>
  <si>
    <t>2024/539</t>
  </si>
  <si>
    <t>2024/463</t>
  </si>
  <si>
    <t>Nelze zpracovat</t>
  </si>
  <si>
    <t>2024/568</t>
  </si>
  <si>
    <t>2024/574</t>
  </si>
  <si>
    <t>2024/587</t>
  </si>
  <si>
    <t>2024/608</t>
  </si>
  <si>
    <t>2024/609</t>
  </si>
  <si>
    <t>2024/638</t>
  </si>
  <si>
    <r>
      <t>2024</t>
    </r>
    <r>
      <rPr>
        <b/>
        <sz val="11"/>
        <color rgb="FFFF0000"/>
        <rFont val="Calibri"/>
        <family val="2"/>
        <charset val="238"/>
        <scheme val="minor"/>
      </rPr>
      <t>/539</t>
    </r>
  </si>
  <si>
    <t>2024/672</t>
  </si>
  <si>
    <t>2024/673</t>
  </si>
  <si>
    <t>2024/674</t>
  </si>
  <si>
    <t>2024/675</t>
  </si>
  <si>
    <t>2024/686</t>
  </si>
  <si>
    <t>2024/687</t>
  </si>
  <si>
    <t>2024/688</t>
  </si>
  <si>
    <t>2024/700</t>
  </si>
  <si>
    <t>2024/961</t>
  </si>
  <si>
    <t>2024/701</t>
  </si>
  <si>
    <t>2024/719</t>
  </si>
  <si>
    <t>2024/720</t>
  </si>
  <si>
    <t>2024/722</t>
  </si>
  <si>
    <t>2024/723</t>
  </si>
  <si>
    <t>2024/746</t>
  </si>
  <si>
    <t>2024/749</t>
  </si>
  <si>
    <t>2024/783</t>
  </si>
  <si>
    <t>2024/784</t>
  </si>
  <si>
    <t>2024/786</t>
  </si>
  <si>
    <t>2024/787</t>
  </si>
  <si>
    <t>2024/807</t>
  </si>
  <si>
    <t>2024/808</t>
  </si>
  <si>
    <t>2024/813</t>
  </si>
  <si>
    <t>2024/1350</t>
  </si>
  <si>
    <t>2024/816</t>
  </si>
  <si>
    <t>2024/817</t>
  </si>
  <si>
    <t>2024/818</t>
  </si>
  <si>
    <t>2024/819</t>
  </si>
  <si>
    <t>BAZAL Type</t>
  </si>
  <si>
    <t>špatná idikace</t>
  </si>
  <si>
    <t>2024/849</t>
  </si>
  <si>
    <t>2024/850</t>
  </si>
  <si>
    <t>2024/882</t>
  </si>
  <si>
    <t>2024/913</t>
  </si>
  <si>
    <t>2024/915</t>
  </si>
  <si>
    <t>2024/919</t>
  </si>
  <si>
    <t>2024/937</t>
  </si>
  <si>
    <t>2024/938</t>
  </si>
  <si>
    <t>2024/939</t>
  </si>
  <si>
    <t>2024/940</t>
  </si>
  <si>
    <r>
      <t>2024/</t>
    </r>
    <r>
      <rPr>
        <b/>
        <sz val="11"/>
        <color rgb="FFFF0000"/>
        <rFont val="Calibri"/>
        <family val="2"/>
        <charset val="238"/>
        <scheme val="minor"/>
      </rPr>
      <t>921</t>
    </r>
  </si>
  <si>
    <r>
      <t>2024/</t>
    </r>
    <r>
      <rPr>
        <b/>
        <sz val="11"/>
        <color rgb="FFFF0000"/>
        <rFont val="Calibri"/>
        <family val="2"/>
        <charset val="238"/>
        <scheme val="minor"/>
      </rPr>
      <t>922</t>
    </r>
  </si>
  <si>
    <t>2024/963</t>
  </si>
  <si>
    <t>2024/965</t>
  </si>
  <si>
    <t>2024/967</t>
  </si>
  <si>
    <t>2024/968</t>
  </si>
  <si>
    <t>2024/981</t>
  </si>
  <si>
    <t>2024/988</t>
  </si>
  <si>
    <t>2024/995</t>
  </si>
  <si>
    <t>2024/997</t>
  </si>
  <si>
    <t>2024/998</t>
  </si>
  <si>
    <t>2024/1000</t>
  </si>
  <si>
    <t>2024/1005</t>
  </si>
  <si>
    <t>2024/1006</t>
  </si>
  <si>
    <t>2024/1017</t>
  </si>
  <si>
    <t>2024/1018</t>
  </si>
  <si>
    <t>2024/1019</t>
  </si>
  <si>
    <t>2024/1020</t>
  </si>
  <si>
    <t>2024/964</t>
  </si>
  <si>
    <t>bez indikace</t>
  </si>
  <si>
    <t>2024/1050</t>
  </si>
  <si>
    <t>2024/1052</t>
  </si>
  <si>
    <t>2024/1053</t>
  </si>
  <si>
    <t>2024/1054</t>
  </si>
  <si>
    <t>2024/1055</t>
  </si>
  <si>
    <t>2024/1057</t>
  </si>
  <si>
    <t>2024/1059</t>
  </si>
  <si>
    <t>2024/1087</t>
  </si>
  <si>
    <t>2024/1088</t>
  </si>
  <si>
    <t>2024/1089</t>
  </si>
  <si>
    <t>2024/1100</t>
  </si>
  <si>
    <t>2024/1106</t>
  </si>
  <si>
    <t>2024/1107</t>
  </si>
  <si>
    <t>2024/1109</t>
  </si>
  <si>
    <t>2024/1110</t>
  </si>
  <si>
    <t>2024/1111</t>
  </si>
  <si>
    <t>2024/1124</t>
  </si>
  <si>
    <t>2024/1125</t>
  </si>
  <si>
    <t>2024/1133</t>
  </si>
  <si>
    <t>2024/1134</t>
  </si>
  <si>
    <t>2024/1135</t>
  </si>
  <si>
    <t>2024/1144</t>
  </si>
  <si>
    <t>2024/1151</t>
  </si>
  <si>
    <t>2024/1178</t>
  </si>
  <si>
    <t>2024/1179</t>
  </si>
  <si>
    <t>2024/1190</t>
  </si>
  <si>
    <t>2024/1192</t>
  </si>
  <si>
    <t>2024/1194</t>
  </si>
  <si>
    <t>2024/1195</t>
  </si>
  <si>
    <t>2024/1223</t>
  </si>
  <si>
    <t>2024/1224</t>
  </si>
  <si>
    <t>2024/1225</t>
  </si>
  <si>
    <t>2024/1226</t>
  </si>
  <si>
    <t>2024/1237</t>
  </si>
  <si>
    <t>2024/2042</t>
  </si>
  <si>
    <t>2024/1238</t>
  </si>
  <si>
    <t>2024/1239</t>
  </si>
  <si>
    <t>2024/1244</t>
  </si>
  <si>
    <t>nelze stanovit</t>
  </si>
  <si>
    <t>2024/1276</t>
  </si>
  <si>
    <t>2024/1277</t>
  </si>
  <si>
    <t>2024/1287</t>
  </si>
  <si>
    <t>2024/2206</t>
  </si>
  <si>
    <t>2024/1288</t>
  </si>
  <si>
    <t>2024/1299</t>
  </si>
  <si>
    <t>2024/1300</t>
  </si>
  <si>
    <t>2024/1301</t>
  </si>
  <si>
    <t>2024/1321</t>
  </si>
  <si>
    <t>2024/1323</t>
  </si>
  <si>
    <t>2024/1324</t>
  </si>
  <si>
    <t>2024/2520</t>
  </si>
  <si>
    <t>2024/1325</t>
  </si>
  <si>
    <t>2024/1326</t>
  </si>
  <si>
    <t>2024/1327</t>
  </si>
  <si>
    <t>2024/1393</t>
  </si>
  <si>
    <t>2024/1395</t>
  </si>
  <si>
    <t>2024/1431</t>
  </si>
  <si>
    <t>2024/1432</t>
  </si>
  <si>
    <t>2024/1434</t>
  </si>
  <si>
    <t>2024/1441</t>
  </si>
  <si>
    <t>2024/1452</t>
  </si>
  <si>
    <t>2024/1466</t>
  </si>
  <si>
    <t>2024/1467</t>
  </si>
  <si>
    <t>2024/1468</t>
  </si>
  <si>
    <t>2024/1469</t>
  </si>
  <si>
    <t>2024/1488</t>
  </si>
  <si>
    <t>2024/1499</t>
  </si>
  <si>
    <t>2024/1506</t>
  </si>
  <si>
    <t>2024/1508</t>
  </si>
  <si>
    <t>2024/1514</t>
  </si>
  <si>
    <t>2024/1516</t>
  </si>
  <si>
    <t>2024/1539</t>
  </si>
  <si>
    <t>2024/1540</t>
  </si>
  <si>
    <t>2024/1926</t>
  </si>
  <si>
    <t>2024/1543</t>
  </si>
  <si>
    <t>2024/1554</t>
  </si>
  <si>
    <t>2024/1555</t>
  </si>
  <si>
    <t>2024/1556</t>
  </si>
  <si>
    <t>2024/1558</t>
  </si>
  <si>
    <t>2024/1559</t>
  </si>
  <si>
    <t>2024/1581</t>
  </si>
  <si>
    <t>2024/1582</t>
  </si>
  <si>
    <t>2024/1583</t>
  </si>
  <si>
    <t>2024/1588</t>
  </si>
  <si>
    <t>2024/1589</t>
  </si>
  <si>
    <t>2024/1591</t>
  </si>
  <si>
    <t>2024/1592</t>
  </si>
  <si>
    <t>2024/1622</t>
  </si>
  <si>
    <t>2024/1646</t>
  </si>
  <si>
    <t>2024/1647</t>
  </si>
  <si>
    <t>2024/1856</t>
  </si>
  <si>
    <t>2024/1648</t>
  </si>
  <si>
    <t>2024/1649</t>
  </si>
  <si>
    <t>2024/1650</t>
  </si>
  <si>
    <t>2024/1654</t>
  </si>
  <si>
    <t>2024/1674</t>
  </si>
  <si>
    <t>2024/1675</t>
  </si>
  <si>
    <t>2024/1677</t>
  </si>
  <si>
    <t>2024/1678</t>
  </si>
  <si>
    <t>2024/1694</t>
  </si>
  <si>
    <t>2024/1721</t>
  </si>
  <si>
    <t>2024/1722</t>
  </si>
  <si>
    <t>2024/1749</t>
  </si>
  <si>
    <t>2024/1758</t>
  </si>
  <si>
    <t>2024/1759</t>
  </si>
  <si>
    <t>2024/1773</t>
  </si>
  <si>
    <t>2024/1774</t>
  </si>
  <si>
    <t>2024/1775</t>
  </si>
  <si>
    <t>2024/2230</t>
  </si>
  <si>
    <t>2024/1777</t>
  </si>
  <si>
    <t>2024/1778</t>
  </si>
  <si>
    <t>2024/1799</t>
  </si>
  <si>
    <t>2024/1800</t>
  </si>
  <si>
    <t>2024/1801</t>
  </si>
  <si>
    <t>2024/1802</t>
  </si>
  <si>
    <t>2024/1803</t>
  </si>
  <si>
    <t>2024/1804</t>
  </si>
  <si>
    <t>2024/1833</t>
  </si>
  <si>
    <t>2024/3613</t>
  </si>
  <si>
    <t>2024/1842</t>
  </si>
  <si>
    <t>2024/1855</t>
  </si>
  <si>
    <t>2024/1857</t>
  </si>
  <si>
    <t>2024/1862</t>
  </si>
  <si>
    <t>2024/1928</t>
  </si>
  <si>
    <t>2024/1887</t>
  </si>
  <si>
    <t>2024/1889</t>
  </si>
  <si>
    <t>2024/1899</t>
  </si>
  <si>
    <t>2024/1900</t>
  </si>
  <si>
    <t>2024/1901</t>
  </si>
  <si>
    <t>2024/1902</t>
  </si>
  <si>
    <t>2024/1903</t>
  </si>
  <si>
    <t>2024/1904</t>
  </si>
  <si>
    <t>2024/2671</t>
  </si>
  <si>
    <t>2024/1927</t>
  </si>
  <si>
    <t>2024/1929</t>
  </si>
  <si>
    <t>2024/3054</t>
  </si>
  <si>
    <t>2024/1949</t>
  </si>
  <si>
    <t>2024/1950</t>
  </si>
  <si>
    <t>2024/1951</t>
  </si>
  <si>
    <t>2024/1952</t>
  </si>
  <si>
    <t>2024/1953</t>
  </si>
  <si>
    <t>2024/1954</t>
  </si>
  <si>
    <t>2024/1955</t>
  </si>
  <si>
    <t>2024/1997</t>
  </si>
  <si>
    <t>2024/1992</t>
  </si>
  <si>
    <t>2024/2000</t>
  </si>
  <si>
    <t>2024/2001</t>
  </si>
  <si>
    <t>2024/2039</t>
  </si>
  <si>
    <t>2024/2041</t>
  </si>
  <si>
    <t>2024/3978</t>
  </si>
  <si>
    <t>2024/2044</t>
  </si>
  <si>
    <t>2024/2045</t>
  </si>
  <si>
    <t>2024/2048</t>
  </si>
  <si>
    <t>2024/2049</t>
  </si>
  <si>
    <t>2024/2050</t>
  </si>
  <si>
    <t>2024/2051</t>
  </si>
  <si>
    <t>2024/2083</t>
  </si>
  <si>
    <t>2024/2084</t>
  </si>
  <si>
    <t>2024/2086</t>
  </si>
  <si>
    <t>2024/2130</t>
  </si>
  <si>
    <t>2024/2131</t>
  </si>
  <si>
    <t>2024/2132</t>
  </si>
  <si>
    <t>2024/2133</t>
  </si>
  <si>
    <t>2024/2134</t>
  </si>
  <si>
    <t>2024/2135</t>
  </si>
  <si>
    <t>2024/2136</t>
  </si>
  <si>
    <t>2024/2137</t>
  </si>
  <si>
    <t>2024/3785</t>
  </si>
  <si>
    <t>2024/2138</t>
  </si>
  <si>
    <t>2024/2139</t>
  </si>
  <si>
    <t>2024/2140</t>
  </si>
  <si>
    <t>2024/2184</t>
  </si>
  <si>
    <t>2024/2185</t>
  </si>
  <si>
    <t>2024/2187</t>
  </si>
  <si>
    <t>2024/2998</t>
  </si>
  <si>
    <t>2024/2231</t>
  </si>
  <si>
    <t>2024/2259</t>
  </si>
  <si>
    <t>2024/2261</t>
  </si>
  <si>
    <t>2024/2274</t>
  </si>
  <si>
    <t>2024/2303</t>
  </si>
  <si>
    <t>2024/2304</t>
  </si>
  <si>
    <t>2024/2306</t>
  </si>
  <si>
    <t>2024/2324</t>
  </si>
  <si>
    <t>2024/2325</t>
  </si>
  <si>
    <t>2024/2327</t>
  </si>
  <si>
    <t>2024/2328</t>
  </si>
  <si>
    <t>2024/2329</t>
  </si>
  <si>
    <t>2024/2330</t>
  </si>
  <si>
    <t>2024/2331</t>
  </si>
  <si>
    <t>2024/2324II</t>
  </si>
  <si>
    <t>2024/2355</t>
  </si>
  <si>
    <t>2024/2357</t>
  </si>
  <si>
    <t>2024/2360</t>
  </si>
  <si>
    <t>2024/2377</t>
  </si>
  <si>
    <t>2024/2380</t>
  </si>
  <si>
    <t>2024/2381</t>
  </si>
  <si>
    <t>2024/2384</t>
  </si>
  <si>
    <t>2024/2396</t>
  </si>
  <si>
    <t>2024/2397</t>
  </si>
  <si>
    <t>2024/2398</t>
  </si>
  <si>
    <t>2024/2399</t>
  </si>
  <si>
    <t>2024/2400</t>
  </si>
  <si>
    <t>2024/2417</t>
  </si>
  <si>
    <t>2024/2418</t>
  </si>
  <si>
    <t>2024/2419</t>
  </si>
  <si>
    <t>2024/2420</t>
  </si>
  <si>
    <t>2024/2446</t>
  </si>
  <si>
    <t>2024/2448</t>
  </si>
  <si>
    <t>2024/2449</t>
  </si>
  <si>
    <t>2024/2452</t>
  </si>
  <si>
    <t>2024/2479</t>
  </si>
  <si>
    <t>2024/2480</t>
  </si>
  <si>
    <t>2024/2481</t>
  </si>
  <si>
    <t>2024/2482</t>
  </si>
  <si>
    <t>2024/2483</t>
  </si>
  <si>
    <t>2024/2484</t>
  </si>
  <si>
    <t>2024/2494</t>
  </si>
  <si>
    <t>2024/2496</t>
  </si>
  <si>
    <t>2024/2497</t>
  </si>
  <si>
    <t>2024/2498</t>
  </si>
  <si>
    <t>2024/2499</t>
  </si>
  <si>
    <t>2024/2512</t>
  </si>
  <si>
    <t>2024/2517</t>
  </si>
  <si>
    <t>2024/2518</t>
  </si>
  <si>
    <t>2024/2519</t>
  </si>
  <si>
    <t>2024/2528</t>
  </si>
  <si>
    <t>2024/2533</t>
  </si>
  <si>
    <t>2024/2535</t>
  </si>
  <si>
    <t>2024/2555</t>
  </si>
  <si>
    <t>tru cut</t>
  </si>
  <si>
    <t>2024/2556</t>
  </si>
  <si>
    <t>vyřazena, bude nový blok</t>
  </si>
  <si>
    <t>2024/2581</t>
  </si>
  <si>
    <t>2024/2582</t>
  </si>
  <si>
    <t>2024/2597</t>
  </si>
  <si>
    <t>2024/2614</t>
  </si>
  <si>
    <t>2024/2618</t>
  </si>
  <si>
    <t>2024/2635</t>
  </si>
  <si>
    <t>2024/2636</t>
  </si>
  <si>
    <t>2024/2637</t>
  </si>
  <si>
    <t>2024/2638</t>
  </si>
  <si>
    <t>2024/2664</t>
  </si>
  <si>
    <t>2024/2666</t>
  </si>
  <si>
    <t>2024/2667</t>
  </si>
  <si>
    <t>2024/2668</t>
  </si>
  <si>
    <t>2024/2669</t>
  </si>
  <si>
    <t>2024/2670</t>
  </si>
  <si>
    <t>2024/2707</t>
  </si>
  <si>
    <t>2024/2709</t>
  </si>
  <si>
    <t>2024/2711</t>
  </si>
  <si>
    <t>2024/2736</t>
  </si>
  <si>
    <t>2024/2737</t>
  </si>
  <si>
    <t>2024/2738</t>
  </si>
  <si>
    <t>2024/2742</t>
  </si>
  <si>
    <t>2024/2747</t>
  </si>
  <si>
    <t>2024/2750</t>
  </si>
  <si>
    <t>2024/2752</t>
  </si>
  <si>
    <t>2024/2755</t>
  </si>
  <si>
    <t>2024/2756</t>
  </si>
  <si>
    <t>2024/2764</t>
  </si>
  <si>
    <t>2024/2773</t>
  </si>
  <si>
    <t>2024/2794</t>
  </si>
  <si>
    <t>2024/2798</t>
  </si>
  <si>
    <t>2024/2800</t>
  </si>
  <si>
    <t>2024/2805</t>
  </si>
  <si>
    <t>2024/2806</t>
  </si>
  <si>
    <t>2024/2807</t>
  </si>
  <si>
    <t>2024/2808</t>
  </si>
  <si>
    <t>2024/2810</t>
  </si>
  <si>
    <t>2024/2824</t>
  </si>
  <si>
    <t>2024/2838</t>
  </si>
  <si>
    <t>2024/2839</t>
  </si>
  <si>
    <t>2024/2840</t>
  </si>
  <si>
    <t>2024/2841</t>
  </si>
  <si>
    <t>2024/2842</t>
  </si>
  <si>
    <t>2024/2850</t>
  </si>
  <si>
    <t>2024/2851</t>
  </si>
  <si>
    <t>málo buněk - absolutní počet - dořezáno více řezů</t>
  </si>
  <si>
    <t>H1</t>
  </si>
  <si>
    <r>
      <rPr>
        <sz val="11"/>
        <rFont val="Calibri"/>
        <family val="2"/>
        <charset val="238"/>
        <scheme val="minor"/>
      </rPr>
      <t xml:space="preserve">H1, </t>
    </r>
    <r>
      <rPr>
        <sz val="11"/>
        <color rgb="FFFF0000"/>
        <rFont val="Calibri"/>
        <family val="2"/>
        <charset val="238"/>
        <scheme val="minor"/>
      </rPr>
      <t>autolýza, asi bude špatná kvalita</t>
    </r>
  </si>
  <si>
    <t>H1, hraniční skóre</t>
  </si>
  <si>
    <t>I.</t>
  </si>
  <si>
    <t>2024/2864</t>
  </si>
  <si>
    <t>2024/2865</t>
  </si>
  <si>
    <t>2024/2866</t>
  </si>
  <si>
    <t>2024/2884</t>
  </si>
  <si>
    <t>2024/2890</t>
  </si>
  <si>
    <t>2024/2891</t>
  </si>
  <si>
    <t>2024/2892</t>
  </si>
  <si>
    <t>2024/2893</t>
  </si>
  <si>
    <t>2024/2894</t>
  </si>
  <si>
    <t>2024/2898</t>
  </si>
  <si>
    <t>2024/2910</t>
  </si>
  <si>
    <t>2024/2914</t>
  </si>
  <si>
    <t>2024/2916</t>
  </si>
  <si>
    <t>2024/2926</t>
  </si>
  <si>
    <t>2024/2935</t>
  </si>
  <si>
    <t>výsledek Agendia - sekundárně</t>
  </si>
  <si>
    <t>výsledek Agendia -primárně</t>
  </si>
  <si>
    <t>2024/2944</t>
  </si>
  <si>
    <t>2024/2945</t>
  </si>
  <si>
    <t>2024/2982</t>
  </si>
  <si>
    <t>2024/2983</t>
  </si>
  <si>
    <t>2024/2990</t>
  </si>
  <si>
    <t>2024/2997</t>
  </si>
  <si>
    <t>2024/2999</t>
  </si>
  <si>
    <t>2024/3027</t>
  </si>
  <si>
    <t>2024/3032</t>
  </si>
  <si>
    <t>2024/3033</t>
  </si>
  <si>
    <t>2024/3034</t>
  </si>
  <si>
    <t>2024/3035</t>
  </si>
  <si>
    <t>2024/3043</t>
  </si>
  <si>
    <t>2024/3044</t>
  </si>
  <si>
    <t>2024/3045</t>
  </si>
  <si>
    <t>2024/3046</t>
  </si>
  <si>
    <t>2024/3047</t>
  </si>
  <si>
    <t>2024/3048</t>
  </si>
  <si>
    <t>2024/3050</t>
  </si>
  <si>
    <t>2024/3053</t>
  </si>
  <si>
    <t>2024/3088</t>
  </si>
  <si>
    <t>2024/3715</t>
  </si>
  <si>
    <t>2024/3091</t>
  </si>
  <si>
    <t>2024/3093</t>
  </si>
  <si>
    <t>2024/3094</t>
  </si>
  <si>
    <t>2024/3096</t>
  </si>
  <si>
    <t>2024/3108</t>
  </si>
  <si>
    <t>2024/3109</t>
  </si>
  <si>
    <t>2024/3092</t>
  </si>
  <si>
    <t>2024/3128</t>
  </si>
  <si>
    <t>2024/3129</t>
  </si>
  <si>
    <t>2024/3144</t>
  </si>
  <si>
    <t>2024/3145</t>
  </si>
  <si>
    <t>2024/3149</t>
  </si>
  <si>
    <t>2024/3152</t>
  </si>
  <si>
    <t>2024/3154</t>
  </si>
  <si>
    <t>2024/3178</t>
  </si>
  <si>
    <t>2024/3179</t>
  </si>
  <si>
    <t>2024/3198</t>
  </si>
  <si>
    <t>2024/3199</t>
  </si>
  <si>
    <t>2024/3222</t>
  </si>
  <si>
    <t>2024/3223</t>
  </si>
  <si>
    <t>2024/3224</t>
  </si>
  <si>
    <t>2024/3225</t>
  </si>
  <si>
    <t>2024/3226</t>
  </si>
  <si>
    <t>2024/3236</t>
  </si>
  <si>
    <t>2024/3237</t>
  </si>
  <si>
    <t>2024/3253</t>
  </si>
  <si>
    <t>2024/3255</t>
  </si>
  <si>
    <t>2024/3258</t>
  </si>
  <si>
    <t>2024/3259</t>
  </si>
  <si>
    <t>2024/3262</t>
  </si>
  <si>
    <t>2024/3267</t>
  </si>
  <si>
    <t>2024/3268</t>
  </si>
  <si>
    <t>2024/3275</t>
  </si>
  <si>
    <t>2024/3276</t>
  </si>
  <si>
    <t>2024/3280</t>
  </si>
  <si>
    <t>2024/3283</t>
  </si>
  <si>
    <t>2024/3284</t>
  </si>
  <si>
    <t>2024/3285</t>
  </si>
  <si>
    <t>2024/3289</t>
  </si>
  <si>
    <t>2024/3294</t>
  </si>
  <si>
    <t>2024/3306</t>
  </si>
  <si>
    <t>2024/3314</t>
  </si>
  <si>
    <t>2024/3324</t>
  </si>
  <si>
    <t>2024/3325</t>
  </si>
  <si>
    <t>2024/3345</t>
  </si>
  <si>
    <t>2024/3356</t>
  </si>
  <si>
    <t>2024/3357</t>
  </si>
  <si>
    <t>2024/3359</t>
  </si>
  <si>
    <t>2024/3366</t>
  </si>
  <si>
    <t>2024/3384</t>
  </si>
  <si>
    <t>2024/3385</t>
  </si>
  <si>
    <t>2024/3386</t>
  </si>
  <si>
    <t>2024/3387</t>
  </si>
  <si>
    <t>2024/3413</t>
  </si>
  <si>
    <t>2024/3443</t>
  </si>
  <si>
    <t>2024/3446</t>
  </si>
  <si>
    <t>2024/3448</t>
  </si>
  <si>
    <t>2024/3450</t>
  </si>
  <si>
    <t>2024/3451</t>
  </si>
  <si>
    <t>2024/3455</t>
  </si>
  <si>
    <t>2024/3462</t>
  </si>
  <si>
    <t>2024/3471</t>
  </si>
  <si>
    <t>2024/3473</t>
  </si>
  <si>
    <t>2024/3474</t>
  </si>
  <si>
    <t>2024/3476</t>
  </si>
  <si>
    <t>2024/3479</t>
  </si>
  <si>
    <t>2024/3481</t>
  </si>
  <si>
    <t>2024/3482</t>
  </si>
  <si>
    <t>Agendia, hraniční skóre</t>
  </si>
  <si>
    <t>2024/3531</t>
  </si>
  <si>
    <t>2024/3532</t>
  </si>
  <si>
    <t>2024/3533</t>
  </si>
  <si>
    <t>2024/3547</t>
  </si>
  <si>
    <t>2024/3549</t>
  </si>
  <si>
    <t>2024/3555</t>
  </si>
  <si>
    <t>2024/3556</t>
  </si>
  <si>
    <t>2024/3557</t>
  </si>
  <si>
    <t>2024/3558</t>
  </si>
  <si>
    <t>2024/3559</t>
  </si>
  <si>
    <t>2024/3560</t>
  </si>
  <si>
    <t>2024/3569</t>
  </si>
  <si>
    <t>2024/3570</t>
  </si>
  <si>
    <t>2024/3571</t>
  </si>
  <si>
    <t>2024/3573</t>
  </si>
  <si>
    <t>2024/3575</t>
  </si>
  <si>
    <t>2024/3576</t>
  </si>
  <si>
    <t>2024/3577</t>
  </si>
  <si>
    <t>2024/3578</t>
  </si>
  <si>
    <t>2024/3579</t>
  </si>
  <si>
    <t>2024/3551</t>
  </si>
  <si>
    <t>2024/3598</t>
  </si>
  <si>
    <t>dodán blok 22</t>
  </si>
  <si>
    <t>2024/3608</t>
  </si>
  <si>
    <t>2024/3614</t>
  </si>
  <si>
    <t>2024/3634</t>
  </si>
  <si>
    <t>2024/3635</t>
  </si>
  <si>
    <t>2024/3646</t>
  </si>
  <si>
    <t>2024/3653</t>
  </si>
  <si>
    <t>2024/3654</t>
  </si>
  <si>
    <t>2024/3667</t>
  </si>
  <si>
    <t>2024/3668</t>
  </si>
  <si>
    <t>2024/3679</t>
  </si>
  <si>
    <t>2024/3681</t>
  </si>
  <si>
    <t>2024/3694</t>
  </si>
  <si>
    <t>2024/3714</t>
  </si>
  <si>
    <t>2024/3717</t>
  </si>
  <si>
    <t>2024/3718</t>
  </si>
  <si>
    <t>2024/3733</t>
  </si>
  <si>
    <t>2024/3734</t>
  </si>
  <si>
    <t>2024/3735</t>
  </si>
  <si>
    <t>2024/3736</t>
  </si>
  <si>
    <t>2024/3738</t>
  </si>
  <si>
    <t>2024/3739</t>
  </si>
  <si>
    <t>2024/3741</t>
  </si>
  <si>
    <t>2024/3756</t>
  </si>
  <si>
    <t>2024/3773</t>
  </si>
  <si>
    <t>2024/3796</t>
  </si>
  <si>
    <t>2024/3799</t>
  </si>
  <si>
    <t>2024/3800</t>
  </si>
  <si>
    <t>2024/3815</t>
  </si>
  <si>
    <t>2024/3818</t>
  </si>
  <si>
    <t>2024/3838</t>
  </si>
  <si>
    <t>2024/3860</t>
  </si>
  <si>
    <t>2024/3868</t>
  </si>
  <si>
    <t>2024/3869</t>
  </si>
  <si>
    <t>2024/3871</t>
  </si>
  <si>
    <t>odloženo, bude jiný blok</t>
  </si>
  <si>
    <t>2024/3884</t>
  </si>
  <si>
    <t>2024/3885</t>
  </si>
  <si>
    <t>2024/3887</t>
  </si>
  <si>
    <t>2024/3900</t>
  </si>
  <si>
    <t>2024/3901</t>
  </si>
  <si>
    <t>2024/3903</t>
  </si>
  <si>
    <t>2024/3904</t>
  </si>
  <si>
    <t>2024/3928</t>
  </si>
  <si>
    <t>2024/3929</t>
  </si>
  <si>
    <t>2024/3930</t>
  </si>
  <si>
    <t>2024/3935</t>
  </si>
  <si>
    <t>2024/3937</t>
  </si>
  <si>
    <t>2024/3938</t>
  </si>
  <si>
    <t>2024/3939</t>
  </si>
  <si>
    <t>2024/3940</t>
  </si>
  <si>
    <t>2024/3957</t>
  </si>
  <si>
    <t>2024/3973</t>
  </si>
  <si>
    <t>2024/3936</t>
  </si>
  <si>
    <t>bude jiný blok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</si>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</sst>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28">
    <xf numFmtId="0" fontId="0" fillId="0" borderId="0" xfId="0"/>
    <xf numFmtId="0" fontId="1" fillId="0" borderId="2" xfId="0" applyFont="1" applyBorder="1"/>
    <xf numFmtId="0" fontId="0" fillId="0" borderId="2" xfId="0" applyBorder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3" fillId="0" borderId="2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right"/>
    </xf>
    <xf numFmtId="0" fontId="4" fillId="4" borderId="0" xfId="1"/>
    <xf numFmtId="0" fontId="3" fillId="0" borderId="1" xfId="0" applyFont="1" applyBorder="1"/>
    <xf numFmtId="0" fontId="1" fillId="0" borderId="3" xfId="0" applyFont="1" applyBorder="1"/>
    <xf numFmtId="0" fontId="0" fillId="0" borderId="3" xfId="0" applyBorder="1"/>
    <xf numFmtId="0" fontId="2" fillId="0" borderId="0" xfId="0" applyFont="1"/>
    <xf numFmtId="0" fontId="1" fillId="0" borderId="4" xfId="0" applyFont="1" applyBorder="1"/>
    <xf numFmtId="0" fontId="0" fillId="5" borderId="1" xfId="0" applyFill="1" applyBorder="1"/>
    <xf numFmtId="0" fontId="0" fillId="3" borderId="1" xfId="0" applyFill="1" applyBorder="1"/>
    <xf numFmtId="165" fontId="0" fillId="0" borderId="1" xfId="0" applyNumberFormat="1" applyBorder="1"/>
    <xf numFmtId="0" fontId="1" fillId="6" borderId="1" xfId="0" applyFont="1" applyFill="1" applyBorder="1"/>
    <xf numFmtId="0" fontId="0" fillId="7" borderId="1" xfId="0" applyFill="1" applyBorder="1"/>
    <xf numFmtId="0" fontId="1" fillId="7" borderId="4" xfId="0" applyFont="1" applyFill="1" applyBorder="1"/>
    <xf numFmtId="0" fontId="0" fillId="7" borderId="0" xfId="0" applyFill="1"/>
    <xf numFmtId="0" fontId="4" fillId="4" borderId="1" xfId="1" applyBorder="1"/>
    <xf numFmtId="0" fontId="1" fillId="8" borderId="1" xfId="0" applyFont="1" applyFill="1" applyBorder="1"/>
    <xf numFmtId="0" fontId="0" fillId="8" borderId="1" xfId="0" applyFill="1" applyBorder="1"/>
    <xf numFmtId="0" fontId="1" fillId="8" borderId="4" xfId="0" applyFont="1" applyFill="1" applyBorder="1"/>
    <xf numFmtId="0" fontId="0" fillId="0" borderId="0" xfId="0" applyAlignment="1">
      <alignment vertical="center"/>
    </xf>
  </cellXfs>
  <cellStyles count="2">
    <cellStyle name="Bad" xfId="1" builtinId="27"/>
    <cellStyle name="Normal" xfId="0" builtinId="0"/>
  </cellStyles>
  <dxfs count="36"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03"/>
  <sheetViews>
    <sheetView tabSelected="1" zoomScale="244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E7" sqref="E7"/>
    </sheetView>
  </sheetViews>
  <sheetFormatPr baseColWidth="10" defaultColWidth="9.1640625" defaultRowHeight="15" x14ac:dyDescent="0.2"/>
  <cols>
    <col min="1" max="1" width="10.6640625" customWidth="1"/>
    <col min="2" max="2" width="8.1640625" customWidth="1"/>
    <col min="3" max="3" width="10.1640625" customWidth="1"/>
    <col min="4" max="4" width="17.6640625" customWidth="1"/>
    <col min="5" max="5" width="12.1640625" customWidth="1"/>
    <col min="6" max="6" width="11" customWidth="1"/>
  </cols>
  <sheetData>
    <row r="1" spans="1:6" ht="15" customHeight="1" x14ac:dyDescent="0.2">
      <c r="A1" s="8" t="s">
        <v>0</v>
      </c>
      <c r="B1" t="s">
        <v>10</v>
      </c>
      <c r="C1" t="s">
        <v>11</v>
      </c>
      <c r="D1" t="s">
        <v>1039</v>
      </c>
      <c r="E1" s="27"/>
      <c r="F1" s="27"/>
    </row>
    <row r="2" spans="1:6" x14ac:dyDescent="0.2">
      <c r="A2" s="15" t="s">
        <v>422</v>
      </c>
      <c r="B2" s="3">
        <v>2.8000000000000001E-2</v>
      </c>
      <c r="C2" s="3" t="s">
        <v>13</v>
      </c>
      <c r="D2" t="s">
        <v>452</v>
      </c>
    </row>
    <row r="3" spans="1:6" x14ac:dyDescent="0.2">
      <c r="A3" s="15" t="s">
        <v>423</v>
      </c>
      <c r="B3" s="3">
        <v>-0.28899999999999998</v>
      </c>
      <c r="C3" s="3" t="s">
        <v>12</v>
      </c>
    </row>
    <row r="4" spans="1:6" x14ac:dyDescent="0.2">
      <c r="A4" s="15" t="s">
        <v>425</v>
      </c>
      <c r="B4" s="3">
        <v>-0.38</v>
      </c>
      <c r="C4" s="3" t="s">
        <v>12</v>
      </c>
    </row>
    <row r="5" spans="1:6" x14ac:dyDescent="0.2">
      <c r="A5" s="15" t="s">
        <v>426</v>
      </c>
      <c r="B5" s="3">
        <v>0.27100000000000002</v>
      </c>
      <c r="C5" s="3" t="s">
        <v>13</v>
      </c>
    </row>
    <row r="6" spans="1:6" x14ac:dyDescent="0.2">
      <c r="A6" s="15" t="s">
        <v>427</v>
      </c>
      <c r="B6" s="3">
        <v>-0.28799999999999998</v>
      </c>
      <c r="C6" s="3" t="s">
        <v>12</v>
      </c>
    </row>
    <row r="7" spans="1:6" x14ac:dyDescent="0.2">
      <c r="A7" s="15" t="s">
        <v>428</v>
      </c>
      <c r="B7" s="3">
        <v>-0.86499999999999999</v>
      </c>
      <c r="C7" s="3" t="s">
        <v>12</v>
      </c>
    </row>
    <row r="8" spans="1:6" x14ac:dyDescent="0.2">
      <c r="A8" s="15" t="s">
        <v>429</v>
      </c>
      <c r="B8" s="3">
        <v>0.33600000000000002</v>
      </c>
      <c r="C8" s="3" t="s">
        <v>13</v>
      </c>
    </row>
    <row r="9" spans="1:6" x14ac:dyDescent="0.2">
      <c r="A9" s="15" t="s">
        <v>430</v>
      </c>
      <c r="B9" s="3">
        <v>0.16600000000000001</v>
      </c>
      <c r="C9" s="3" t="s">
        <v>13</v>
      </c>
    </row>
    <row r="10" spans="1:6" x14ac:dyDescent="0.2">
      <c r="A10" s="15" t="s">
        <v>431</v>
      </c>
      <c r="B10" s="3">
        <v>0.22700000000000001</v>
      </c>
      <c r="C10" s="3" t="s">
        <v>13</v>
      </c>
    </row>
    <row r="11" spans="1:6" x14ac:dyDescent="0.2">
      <c r="A11" s="15" t="s">
        <v>432</v>
      </c>
      <c r="B11" s="3">
        <v>-0.48399999999999999</v>
      </c>
      <c r="C11" s="3" t="s">
        <v>12</v>
      </c>
    </row>
    <row r="12" spans="1:6" x14ac:dyDescent="0.2">
      <c r="A12" s="15" t="s">
        <v>433</v>
      </c>
      <c r="B12" s="3">
        <v>7.2999999999999995E-2</v>
      </c>
      <c r="C12" s="3" t="s">
        <v>13</v>
      </c>
    </row>
    <row r="13" spans="1:6" x14ac:dyDescent="0.2">
      <c r="A13" s="15" t="s">
        <v>434</v>
      </c>
      <c r="B13" s="3">
        <v>-7.9000000000000001E-2</v>
      </c>
      <c r="C13" s="3" t="s">
        <v>12</v>
      </c>
    </row>
    <row r="14" spans="1:6" x14ac:dyDescent="0.2">
      <c r="A14" s="15" t="s">
        <v>435</v>
      </c>
      <c r="B14" s="3">
        <v>-0.58099999999999996</v>
      </c>
      <c r="C14" s="3" t="s">
        <v>12</v>
      </c>
    </row>
    <row r="15" spans="1:6" x14ac:dyDescent="0.2">
      <c r="A15" s="7" t="s">
        <v>436</v>
      </c>
      <c r="B15" s="3">
        <v>0.19</v>
      </c>
      <c r="C15" s="3" t="s">
        <v>13</v>
      </c>
    </row>
    <row r="16" spans="1:6" x14ac:dyDescent="0.2">
      <c r="A16" s="7" t="s">
        <v>437</v>
      </c>
      <c r="B16" s="3">
        <v>5.6000000000000001E-2</v>
      </c>
      <c r="C16" s="3" t="s">
        <v>13</v>
      </c>
    </row>
    <row r="17" spans="1:3" x14ac:dyDescent="0.2">
      <c r="A17" s="7" t="s">
        <v>438</v>
      </c>
      <c r="B17" s="3">
        <v>0.13100000000000001</v>
      </c>
      <c r="C17" s="3" t="s">
        <v>13</v>
      </c>
    </row>
    <row r="18" spans="1:3" x14ac:dyDescent="0.2">
      <c r="A18" s="7" t="s">
        <v>439</v>
      </c>
      <c r="B18" s="3">
        <v>-0.26900000000000002</v>
      </c>
      <c r="C18" s="3" t="s">
        <v>12</v>
      </c>
    </row>
    <row r="19" spans="1:3" x14ac:dyDescent="0.2">
      <c r="A19" s="7" t="s">
        <v>440</v>
      </c>
      <c r="B19" s="3">
        <v>0.254</v>
      </c>
      <c r="C19" s="3" t="s">
        <v>13</v>
      </c>
    </row>
    <row r="20" spans="1:3" x14ac:dyDescent="0.2">
      <c r="A20" s="7" t="s">
        <v>441</v>
      </c>
      <c r="B20" s="3">
        <v>-0.36699999999999999</v>
      </c>
      <c r="C20" s="3" t="s">
        <v>12</v>
      </c>
    </row>
    <row r="21" spans="1:3" x14ac:dyDescent="0.2">
      <c r="A21" s="7" t="s">
        <v>442</v>
      </c>
      <c r="B21" s="3">
        <v>0.12</v>
      </c>
      <c r="C21" s="3" t="s">
        <v>13</v>
      </c>
    </row>
    <row r="22" spans="1:3" x14ac:dyDescent="0.2">
      <c r="A22" s="7" t="s">
        <v>443</v>
      </c>
      <c r="B22" s="3">
        <v>0.187</v>
      </c>
      <c r="C22" s="3" t="s">
        <v>13</v>
      </c>
    </row>
    <row r="23" spans="1:3" x14ac:dyDescent="0.2">
      <c r="A23" s="7" t="s">
        <v>444</v>
      </c>
      <c r="B23" s="3">
        <v>-0.19900000000000001</v>
      </c>
      <c r="C23" s="3" t="s">
        <v>12</v>
      </c>
    </row>
    <row r="24" spans="1:3" x14ac:dyDescent="0.2">
      <c r="A24" s="7" t="s">
        <v>445</v>
      </c>
      <c r="B24" s="3">
        <v>0.42799999999999999</v>
      </c>
      <c r="C24" s="3" t="s">
        <v>13</v>
      </c>
    </row>
    <row r="25" spans="1:3" x14ac:dyDescent="0.2">
      <c r="A25" s="7" t="s">
        <v>446</v>
      </c>
      <c r="B25" s="3">
        <v>0.157</v>
      </c>
      <c r="C25" s="3" t="s">
        <v>13</v>
      </c>
    </row>
    <row r="26" spans="1:3" x14ac:dyDescent="0.2">
      <c r="A26" s="7" t="s">
        <v>447</v>
      </c>
      <c r="B26" s="3">
        <v>-0.21099999999999999</v>
      </c>
      <c r="C26" s="3" t="s">
        <v>12</v>
      </c>
    </row>
    <row r="27" spans="1:3" x14ac:dyDescent="0.2">
      <c r="A27" s="7" t="s">
        <v>448</v>
      </c>
      <c r="B27" s="3">
        <v>0.09</v>
      </c>
      <c r="C27" s="3" t="s">
        <v>13</v>
      </c>
    </row>
    <row r="28" spans="1:3" x14ac:dyDescent="0.2">
      <c r="A28" s="7" t="s">
        <v>449</v>
      </c>
      <c r="B28" s="3">
        <v>6.6000000000000003E-2</v>
      </c>
      <c r="C28" s="3" t="s">
        <v>13</v>
      </c>
    </row>
    <row r="29" spans="1:3" x14ac:dyDescent="0.2">
      <c r="A29" s="7" t="s">
        <v>450</v>
      </c>
      <c r="B29" s="3">
        <v>0.13600000000000001</v>
      </c>
      <c r="C29" s="3" t="s">
        <v>13</v>
      </c>
    </row>
    <row r="30" spans="1:3" x14ac:dyDescent="0.2">
      <c r="A30" s="7" t="s">
        <v>451</v>
      </c>
      <c r="B30" s="3">
        <v>-0.22800000000000001</v>
      </c>
      <c r="C30" s="3" t="s">
        <v>12</v>
      </c>
    </row>
    <row r="31" spans="1:3" x14ac:dyDescent="0.2">
      <c r="A31" s="7" t="s">
        <v>453</v>
      </c>
      <c r="B31" s="3">
        <v>0.33600000000000002</v>
      </c>
      <c r="C31" s="3" t="s">
        <v>13</v>
      </c>
    </row>
    <row r="32" spans="1:3" x14ac:dyDescent="0.2">
      <c r="A32" s="7" t="s">
        <v>454</v>
      </c>
      <c r="B32" s="3">
        <v>-0.13</v>
      </c>
      <c r="C32" s="3" t="s">
        <v>12</v>
      </c>
    </row>
    <row r="33" spans="1:4" x14ac:dyDescent="0.2">
      <c r="A33" s="7" t="s">
        <v>455</v>
      </c>
      <c r="B33" s="3">
        <v>-0.32300000000000001</v>
      </c>
      <c r="C33" s="3" t="s">
        <v>12</v>
      </c>
    </row>
    <row r="34" spans="1:4" x14ac:dyDescent="0.2">
      <c r="A34" s="7" t="s">
        <v>456</v>
      </c>
      <c r="B34" s="3">
        <v>0.17699999999999999</v>
      </c>
      <c r="C34" s="3" t="s">
        <v>13</v>
      </c>
    </row>
    <row r="35" spans="1:4" x14ac:dyDescent="0.2">
      <c r="A35" s="7" t="s">
        <v>457</v>
      </c>
      <c r="B35" s="3">
        <v>-3.2000000000000001E-2</v>
      </c>
      <c r="C35" s="3" t="s">
        <v>12</v>
      </c>
    </row>
    <row r="36" spans="1:4" x14ac:dyDescent="0.2">
      <c r="A36" s="7" t="s">
        <v>458</v>
      </c>
      <c r="B36" s="3">
        <v>-0.107</v>
      </c>
      <c r="C36" s="3" t="s">
        <v>12</v>
      </c>
    </row>
    <row r="37" spans="1:4" x14ac:dyDescent="0.2">
      <c r="A37" s="7" t="s">
        <v>459</v>
      </c>
      <c r="B37" s="3">
        <v>0.73599999999999999</v>
      </c>
      <c r="C37" s="3" t="s">
        <v>13</v>
      </c>
    </row>
    <row r="38" spans="1:4" x14ac:dyDescent="0.2">
      <c r="A38" s="7" t="s">
        <v>460</v>
      </c>
      <c r="B38" s="3">
        <v>0.34699999999999998</v>
      </c>
      <c r="C38" s="3" t="s">
        <v>13</v>
      </c>
    </row>
    <row r="39" spans="1:4" x14ac:dyDescent="0.2">
      <c r="A39" s="7" t="s">
        <v>461</v>
      </c>
      <c r="B39" s="3">
        <v>0.11</v>
      </c>
      <c r="C39" s="3" t="s">
        <v>13</v>
      </c>
    </row>
    <row r="40" spans="1:4" x14ac:dyDescent="0.2">
      <c r="A40" s="7" t="s">
        <v>462</v>
      </c>
      <c r="B40" s="3">
        <v>-0.88700000000000001</v>
      </c>
      <c r="C40" s="3" t="s">
        <v>12</v>
      </c>
    </row>
    <row r="41" spans="1:4" x14ac:dyDescent="0.2">
      <c r="A41" s="7" t="s">
        <v>463</v>
      </c>
      <c r="B41" s="3">
        <v>0.20399999999999999</v>
      </c>
      <c r="C41" s="3" t="s">
        <v>13</v>
      </c>
    </row>
    <row r="42" spans="1:4" x14ac:dyDescent="0.2">
      <c r="A42" s="7" t="s">
        <v>464</v>
      </c>
      <c r="B42" s="3">
        <v>-8.6999999999999994E-2</v>
      </c>
      <c r="C42" s="3" t="s">
        <v>12</v>
      </c>
    </row>
    <row r="43" spans="1:4" x14ac:dyDescent="0.2">
      <c r="A43" s="7" t="s">
        <v>465</v>
      </c>
      <c r="B43" s="3">
        <v>0.125</v>
      </c>
      <c r="C43" s="3" t="s">
        <v>13</v>
      </c>
    </row>
    <row r="44" spans="1:4" x14ac:dyDescent="0.2">
      <c r="A44" s="7" t="s">
        <v>466</v>
      </c>
      <c r="B44" s="3">
        <v>-0.26800000000000002</v>
      </c>
      <c r="C44" s="3" t="s">
        <v>12</v>
      </c>
      <c r="D44" t="s">
        <v>452</v>
      </c>
    </row>
    <row r="45" spans="1:4" x14ac:dyDescent="0.2">
      <c r="A45" s="7" t="s">
        <v>467</v>
      </c>
      <c r="B45" s="3">
        <v>0.47199999999999998</v>
      </c>
      <c r="C45" s="3" t="s">
        <v>13</v>
      </c>
    </row>
    <row r="46" spans="1:4" x14ac:dyDescent="0.2">
      <c r="A46" s="7" t="s">
        <v>468</v>
      </c>
      <c r="B46" s="3">
        <v>-0.17899999999999999</v>
      </c>
      <c r="C46" s="3" t="s">
        <v>12</v>
      </c>
      <c r="D46" t="s">
        <v>452</v>
      </c>
    </row>
    <row r="47" spans="1:4" x14ac:dyDescent="0.2">
      <c r="A47" s="7" t="s">
        <v>469</v>
      </c>
      <c r="B47" s="3">
        <v>0.48699999999999999</v>
      </c>
      <c r="C47" s="3" t="s">
        <v>13</v>
      </c>
    </row>
    <row r="48" spans="1:4" x14ac:dyDescent="0.2">
      <c r="A48" s="15" t="s">
        <v>470</v>
      </c>
      <c r="B48" s="3">
        <v>0.623</v>
      </c>
      <c r="C48" s="3" t="s">
        <v>13</v>
      </c>
    </row>
    <row r="49" spans="1:4" x14ac:dyDescent="0.2">
      <c r="A49" s="15" t="s">
        <v>471</v>
      </c>
      <c r="B49" s="3">
        <v>-0.192</v>
      </c>
      <c r="C49" s="3" t="s">
        <v>12</v>
      </c>
      <c r="D49" t="s">
        <v>452</v>
      </c>
    </row>
    <row r="50" spans="1:4" x14ac:dyDescent="0.2">
      <c r="A50" s="15" t="s">
        <v>472</v>
      </c>
      <c r="B50" s="3">
        <v>0.217</v>
      </c>
      <c r="C50" s="3" t="s">
        <v>13</v>
      </c>
    </row>
    <row r="51" spans="1:4" x14ac:dyDescent="0.2">
      <c r="A51" s="15" t="s">
        <v>473</v>
      </c>
      <c r="B51" s="3">
        <v>0.14399999999999999</v>
      </c>
      <c r="C51" s="3" t="s">
        <v>13</v>
      </c>
    </row>
    <row r="52" spans="1:4" x14ac:dyDescent="0.2">
      <c r="A52" s="15" t="s">
        <v>474</v>
      </c>
      <c r="B52" s="3">
        <v>0.28599999999999998</v>
      </c>
      <c r="C52" s="3" t="s">
        <v>13</v>
      </c>
    </row>
    <row r="53" spans="1:4" x14ac:dyDescent="0.2">
      <c r="A53" s="15" t="s">
        <v>475</v>
      </c>
      <c r="B53" s="3">
        <v>-0.14099999999999999</v>
      </c>
      <c r="C53" s="3" t="s">
        <v>12</v>
      </c>
    </row>
    <row r="54" spans="1:4" x14ac:dyDescent="0.2">
      <c r="A54" s="15" t="s">
        <v>476</v>
      </c>
      <c r="B54" s="3">
        <v>-4.5999999999999999E-2</v>
      </c>
      <c r="C54" s="3" t="s">
        <v>12</v>
      </c>
    </row>
    <row r="55" spans="1:4" x14ac:dyDescent="0.2">
      <c r="A55" s="15" t="s">
        <v>477</v>
      </c>
      <c r="B55" s="3">
        <v>-0.121</v>
      </c>
      <c r="C55" s="3" t="s">
        <v>12</v>
      </c>
    </row>
    <row r="56" spans="1:4" x14ac:dyDescent="0.2">
      <c r="A56" s="15" t="s">
        <v>478</v>
      </c>
      <c r="B56" s="3">
        <v>8.2000000000000003E-2</v>
      </c>
      <c r="C56" s="3" t="s">
        <v>13</v>
      </c>
    </row>
    <row r="57" spans="1:4" x14ac:dyDescent="0.2">
      <c r="A57" s="15" t="s">
        <v>479</v>
      </c>
      <c r="B57" s="3">
        <v>0.23499999999999999</v>
      </c>
      <c r="C57" s="3" t="s">
        <v>13</v>
      </c>
    </row>
    <row r="58" spans="1:4" x14ac:dyDescent="0.2">
      <c r="A58" s="15" t="s">
        <v>480</v>
      </c>
      <c r="B58" s="3">
        <v>5.5E-2</v>
      </c>
      <c r="C58" s="3" t="s">
        <v>13</v>
      </c>
    </row>
    <row r="59" spans="1:4" x14ac:dyDescent="0.2">
      <c r="A59" s="15" t="s">
        <v>481</v>
      </c>
      <c r="B59" s="3">
        <v>-0.78300000000000003</v>
      </c>
      <c r="C59" s="3" t="s">
        <v>12</v>
      </c>
    </row>
    <row r="60" spans="1:4" x14ac:dyDescent="0.2">
      <c r="A60" s="15" t="s">
        <v>482</v>
      </c>
      <c r="B60" s="3">
        <v>-4.1000000000000002E-2</v>
      </c>
      <c r="C60" s="3" t="s">
        <v>12</v>
      </c>
    </row>
    <row r="61" spans="1:4" x14ac:dyDescent="0.2">
      <c r="A61" s="15" t="s">
        <v>483</v>
      </c>
      <c r="B61" s="3">
        <v>0.16700000000000001</v>
      </c>
      <c r="C61" s="3" t="s">
        <v>13</v>
      </c>
    </row>
    <row r="62" spans="1:4" x14ac:dyDescent="0.2">
      <c r="A62" s="7" t="s">
        <v>484</v>
      </c>
      <c r="B62" s="3">
        <v>0.215</v>
      </c>
      <c r="C62" s="3" t="s">
        <v>13</v>
      </c>
    </row>
    <row r="63" spans="1:4" x14ac:dyDescent="0.2">
      <c r="A63" s="7" t="s">
        <v>485</v>
      </c>
      <c r="B63" s="3">
        <v>-0.41099999999999998</v>
      </c>
      <c r="C63" s="3" t="s">
        <v>12</v>
      </c>
    </row>
    <row r="64" spans="1:4" x14ac:dyDescent="0.2">
      <c r="A64" s="7" t="s">
        <v>486</v>
      </c>
      <c r="B64" s="3">
        <v>-0.58399999999999996</v>
      </c>
      <c r="C64" s="3" t="s">
        <v>12</v>
      </c>
      <c r="D64" t="s">
        <v>452</v>
      </c>
    </row>
    <row r="65" spans="1:4" x14ac:dyDescent="0.2">
      <c r="A65" s="7" t="s">
        <v>487</v>
      </c>
      <c r="B65" s="3">
        <v>-0.84099999999999997</v>
      </c>
      <c r="C65" s="3" t="s">
        <v>12</v>
      </c>
    </row>
    <row r="66" spans="1:4" x14ac:dyDescent="0.2">
      <c r="A66" s="15" t="s">
        <v>503</v>
      </c>
      <c r="B66" s="3">
        <v>0.31</v>
      </c>
      <c r="C66" s="3" t="s">
        <v>13</v>
      </c>
    </row>
    <row r="67" spans="1:4" x14ac:dyDescent="0.2">
      <c r="A67" s="7" t="s">
        <v>488</v>
      </c>
      <c r="B67" s="3">
        <v>0.26500000000000001</v>
      </c>
      <c r="C67" s="3" t="s">
        <v>13</v>
      </c>
    </row>
    <row r="68" spans="1:4" x14ac:dyDescent="0.2">
      <c r="A68" s="7" t="s">
        <v>489</v>
      </c>
      <c r="B68" s="3">
        <v>-0.36199999999999999</v>
      </c>
      <c r="C68" s="3" t="s">
        <v>12</v>
      </c>
    </row>
    <row r="69" spans="1:4" x14ac:dyDescent="0.2">
      <c r="A69" s="7" t="s">
        <v>490</v>
      </c>
      <c r="B69" s="3">
        <v>0.61899999999999999</v>
      </c>
      <c r="C69" s="3" t="s">
        <v>13</v>
      </c>
    </row>
    <row r="70" spans="1:4" x14ac:dyDescent="0.2">
      <c r="A70" s="7" t="s">
        <v>491</v>
      </c>
      <c r="B70" s="3">
        <v>0.20200000000000001</v>
      </c>
      <c r="C70" s="3" t="s">
        <v>13</v>
      </c>
    </row>
    <row r="71" spans="1:4" x14ac:dyDescent="0.2">
      <c r="A71" s="7" t="s">
        <v>492</v>
      </c>
      <c r="B71" s="3">
        <v>-0.24299999999999999</v>
      </c>
      <c r="C71" s="3" t="s">
        <v>12</v>
      </c>
    </row>
    <row r="72" spans="1:4" x14ac:dyDescent="0.2">
      <c r="A72" s="7" t="s">
        <v>493</v>
      </c>
      <c r="B72" s="3">
        <v>-0.14599999999999999</v>
      </c>
      <c r="C72" s="3" t="s">
        <v>12</v>
      </c>
    </row>
    <row r="73" spans="1:4" x14ac:dyDescent="0.2">
      <c r="A73" s="7" t="s">
        <v>494</v>
      </c>
      <c r="B73" s="3">
        <v>0.11</v>
      </c>
      <c r="C73" s="3" t="s">
        <v>13</v>
      </c>
    </row>
    <row r="74" spans="1:4" x14ac:dyDescent="0.2">
      <c r="A74" s="7" t="s">
        <v>495</v>
      </c>
      <c r="B74" s="3">
        <v>1.7999999999999999E-2</v>
      </c>
      <c r="C74" s="3" t="s">
        <v>13</v>
      </c>
    </row>
    <row r="75" spans="1:4" x14ac:dyDescent="0.2">
      <c r="A75" s="7" t="s">
        <v>496</v>
      </c>
      <c r="B75" s="3">
        <v>-0.46</v>
      </c>
      <c r="C75" s="3" t="s">
        <v>12</v>
      </c>
    </row>
    <row r="76" spans="1:4" x14ac:dyDescent="0.2">
      <c r="A76" s="7" t="s">
        <v>497</v>
      </c>
      <c r="B76" s="3">
        <v>0.29799999999999999</v>
      </c>
      <c r="C76" s="3" t="s">
        <v>13</v>
      </c>
    </row>
    <row r="77" spans="1:4" x14ac:dyDescent="0.2">
      <c r="A77" s="7" t="s">
        <v>498</v>
      </c>
      <c r="B77" s="3">
        <v>0.16300000000000001</v>
      </c>
      <c r="C77" s="3" t="s">
        <v>13</v>
      </c>
    </row>
    <row r="78" spans="1:4" x14ac:dyDescent="0.2">
      <c r="A78" s="7" t="s">
        <v>499</v>
      </c>
      <c r="B78" s="3">
        <v>8.5999999999999993E-2</v>
      </c>
      <c r="C78" s="3" t="s">
        <v>13</v>
      </c>
    </row>
    <row r="79" spans="1:4" x14ac:dyDescent="0.2">
      <c r="A79" s="7" t="s">
        <v>501</v>
      </c>
      <c r="B79" s="3">
        <v>-0.126</v>
      </c>
      <c r="C79" s="3" t="s">
        <v>12</v>
      </c>
    </row>
    <row r="80" spans="1:4" x14ac:dyDescent="0.2">
      <c r="A80" s="7" t="s">
        <v>502</v>
      </c>
      <c r="B80" s="3"/>
      <c r="C80" s="3"/>
      <c r="D80" t="s">
        <v>504</v>
      </c>
    </row>
    <row r="81" spans="1:4" x14ac:dyDescent="0.2">
      <c r="A81" s="15" t="s">
        <v>511</v>
      </c>
      <c r="B81" s="3">
        <v>-0.54100000000000004</v>
      </c>
      <c r="C81" s="3" t="s">
        <v>12</v>
      </c>
      <c r="D81" t="s">
        <v>452</v>
      </c>
    </row>
    <row r="82" spans="1:4" x14ac:dyDescent="0.2">
      <c r="A82" s="15" t="s">
        <v>505</v>
      </c>
      <c r="B82" s="3">
        <v>-0.112</v>
      </c>
      <c r="C82" s="3" t="s">
        <v>12</v>
      </c>
      <c r="D82" t="s">
        <v>452</v>
      </c>
    </row>
    <row r="83" spans="1:4" x14ac:dyDescent="0.2">
      <c r="A83" s="15" t="s">
        <v>506</v>
      </c>
      <c r="B83" s="3">
        <v>0.23</v>
      </c>
      <c r="C83" s="3" t="s">
        <v>13</v>
      </c>
    </row>
    <row r="84" spans="1:4" x14ac:dyDescent="0.2">
      <c r="A84" s="15" t="s">
        <v>507</v>
      </c>
      <c r="B84" s="3">
        <v>-8.7999999999999995E-2</v>
      </c>
      <c r="C84" s="3" t="s">
        <v>12</v>
      </c>
    </row>
    <row r="85" spans="1:4" x14ac:dyDescent="0.2">
      <c r="A85" s="15" t="s">
        <v>508</v>
      </c>
      <c r="B85" s="3">
        <v>-0.379</v>
      </c>
      <c r="C85" s="3" t="s">
        <v>12</v>
      </c>
    </row>
    <row r="86" spans="1:4" x14ac:dyDescent="0.2">
      <c r="A86" s="15" t="s">
        <v>509</v>
      </c>
      <c r="B86" s="3">
        <v>0.21299999999999999</v>
      </c>
      <c r="C86" s="3" t="s">
        <v>13</v>
      </c>
      <c r="D86" t="s">
        <v>452</v>
      </c>
    </row>
    <row r="87" spans="1:4" x14ac:dyDescent="0.2">
      <c r="A87" s="15" t="s">
        <v>510</v>
      </c>
      <c r="B87" s="3">
        <v>-0.26600000000000001</v>
      </c>
      <c r="C87" s="3" t="s">
        <v>12</v>
      </c>
    </row>
    <row r="88" spans="1:4" x14ac:dyDescent="0.2">
      <c r="A88" s="15" t="s">
        <v>512</v>
      </c>
      <c r="B88" s="3">
        <v>0.17</v>
      </c>
      <c r="C88" s="3" t="s">
        <v>13</v>
      </c>
    </row>
    <row r="89" spans="1:4" x14ac:dyDescent="0.2">
      <c r="A89" s="15" t="s">
        <v>513</v>
      </c>
      <c r="B89" s="3">
        <v>7.4999999999999997E-2</v>
      </c>
      <c r="C89" s="3" t="s">
        <v>13</v>
      </c>
    </row>
    <row r="90" spans="1:4" x14ac:dyDescent="0.2">
      <c r="A90" s="15" t="s">
        <v>514</v>
      </c>
      <c r="B90" s="3">
        <v>0.188</v>
      </c>
      <c r="C90" s="3" t="s">
        <v>13</v>
      </c>
    </row>
    <row r="91" spans="1:4" x14ac:dyDescent="0.2">
      <c r="A91" s="15" t="s">
        <v>515</v>
      </c>
      <c r="B91" s="3">
        <v>-0.16700000000000001</v>
      </c>
      <c r="C91" s="3" t="s">
        <v>12</v>
      </c>
    </row>
    <row r="92" spans="1:4" x14ac:dyDescent="0.2">
      <c r="A92" s="15" t="s">
        <v>516</v>
      </c>
      <c r="B92" s="3">
        <v>-0.26400000000000001</v>
      </c>
      <c r="C92" s="3" t="s">
        <v>12</v>
      </c>
      <c r="D92" t="s">
        <v>452</v>
      </c>
    </row>
    <row r="93" spans="1:4" x14ac:dyDescent="0.2">
      <c r="A93" s="15" t="s">
        <v>517</v>
      </c>
      <c r="B93" s="3">
        <v>0.33600000000000002</v>
      </c>
      <c r="C93" s="3" t="s">
        <v>13</v>
      </c>
    </row>
    <row r="94" spans="1:4" x14ac:dyDescent="0.2">
      <c r="A94" s="15" t="s">
        <v>518</v>
      </c>
      <c r="B94" s="3">
        <v>0.182</v>
      </c>
      <c r="C94" s="3" t="s">
        <v>13</v>
      </c>
    </row>
    <row r="95" spans="1:4" x14ac:dyDescent="0.2">
      <c r="A95" s="15" t="s">
        <v>519</v>
      </c>
      <c r="B95" s="3">
        <v>-5.8999999999999997E-2</v>
      </c>
      <c r="C95" s="3" t="s">
        <v>12</v>
      </c>
    </row>
    <row r="96" spans="1:4" x14ac:dyDescent="0.2">
      <c r="A96" s="15" t="s">
        <v>521</v>
      </c>
      <c r="B96" s="3">
        <v>-2.8000000000000001E-2</v>
      </c>
      <c r="C96" s="3" t="s">
        <v>12</v>
      </c>
      <c r="D96" t="s">
        <v>452</v>
      </c>
    </row>
    <row r="97" spans="1:4" x14ac:dyDescent="0.2">
      <c r="A97" s="15" t="s">
        <v>500</v>
      </c>
      <c r="B97" s="3">
        <v>8.5000000000000006E-2</v>
      </c>
      <c r="C97" s="3" t="s">
        <v>13</v>
      </c>
    </row>
    <row r="98" spans="1:4" x14ac:dyDescent="0.2">
      <c r="A98" s="15" t="s">
        <v>522</v>
      </c>
      <c r="B98" s="3">
        <v>2.8000000000000001E-2</v>
      </c>
      <c r="C98" s="3" t="s">
        <v>13</v>
      </c>
    </row>
    <row r="99" spans="1:4" x14ac:dyDescent="0.2">
      <c r="A99" s="15" t="s">
        <v>523</v>
      </c>
      <c r="B99" s="3">
        <v>0.41699999999999998</v>
      </c>
      <c r="C99" s="3" t="s">
        <v>13</v>
      </c>
    </row>
    <row r="100" spans="1:4" x14ac:dyDescent="0.2">
      <c r="A100" s="15" t="s">
        <v>524</v>
      </c>
      <c r="B100" s="3">
        <v>-0.58699999999999997</v>
      </c>
      <c r="C100" s="3" t="s">
        <v>12</v>
      </c>
    </row>
    <row r="101" spans="1:4" x14ac:dyDescent="0.2">
      <c r="A101" s="15" t="s">
        <v>525</v>
      </c>
      <c r="B101" s="3">
        <v>-4.0000000000000001E-3</v>
      </c>
      <c r="C101" s="3" t="s">
        <v>12</v>
      </c>
    </row>
    <row r="102" spans="1:4" x14ac:dyDescent="0.2">
      <c r="A102" s="7" t="s">
        <v>526</v>
      </c>
      <c r="B102" s="3">
        <v>0.44</v>
      </c>
      <c r="C102" s="3" t="s">
        <v>13</v>
      </c>
    </row>
    <row r="103" spans="1:4" x14ac:dyDescent="0.2">
      <c r="A103" s="7" t="s">
        <v>527</v>
      </c>
      <c r="B103" s="3">
        <v>0.246</v>
      </c>
      <c r="C103" s="3" t="s">
        <v>13</v>
      </c>
    </row>
    <row r="104" spans="1:4" x14ac:dyDescent="0.2">
      <c r="A104" s="7" t="s">
        <v>528</v>
      </c>
      <c r="B104" s="4">
        <v>-1</v>
      </c>
      <c r="C104" s="3" t="s">
        <v>540</v>
      </c>
    </row>
    <row r="105" spans="1:4" x14ac:dyDescent="0.2">
      <c r="A105" s="7" t="s">
        <v>529</v>
      </c>
      <c r="B105" s="3">
        <v>0.23100000000000001</v>
      </c>
      <c r="C105" s="3" t="s">
        <v>13</v>
      </c>
    </row>
    <row r="106" spans="1:4" x14ac:dyDescent="0.2">
      <c r="A106" s="7" t="s">
        <v>530</v>
      </c>
      <c r="B106" s="3">
        <v>0.442</v>
      </c>
      <c r="C106" s="3" t="s">
        <v>13</v>
      </c>
    </row>
    <row r="107" spans="1:4" x14ac:dyDescent="0.2">
      <c r="A107" s="7" t="s">
        <v>531</v>
      </c>
      <c r="B107" s="4">
        <v>-0.1</v>
      </c>
      <c r="C107" s="3" t="s">
        <v>12</v>
      </c>
      <c r="D107" t="s">
        <v>452</v>
      </c>
    </row>
    <row r="108" spans="1:4" x14ac:dyDescent="0.2">
      <c r="A108" s="7" t="s">
        <v>532</v>
      </c>
      <c r="B108" s="3">
        <v>-0.248</v>
      </c>
      <c r="C108" s="3" t="s">
        <v>12</v>
      </c>
    </row>
    <row r="109" spans="1:4" x14ac:dyDescent="0.2">
      <c r="A109" s="7" t="s">
        <v>533</v>
      </c>
      <c r="B109" s="3">
        <v>0.32500000000000001</v>
      </c>
      <c r="C109" s="3" t="s">
        <v>13</v>
      </c>
    </row>
    <row r="110" spans="1:4" x14ac:dyDescent="0.2">
      <c r="A110" s="7" t="s">
        <v>534</v>
      </c>
      <c r="B110" s="3">
        <v>0.35499999999999998</v>
      </c>
      <c r="C110" s="3" t="s">
        <v>13</v>
      </c>
    </row>
    <row r="111" spans="1:4" x14ac:dyDescent="0.2">
      <c r="A111" s="7" t="s">
        <v>536</v>
      </c>
      <c r="B111" s="3" t="s">
        <v>541</v>
      </c>
      <c r="C111" s="3"/>
    </row>
    <row r="112" spans="1:4" x14ac:dyDescent="0.2">
      <c r="A112" s="7" t="s">
        <v>537</v>
      </c>
      <c r="B112" s="3">
        <v>-0.23200000000000001</v>
      </c>
      <c r="C112" s="3" t="s">
        <v>12</v>
      </c>
    </row>
    <row r="113" spans="1:4" x14ac:dyDescent="0.2">
      <c r="A113" s="7" t="s">
        <v>538</v>
      </c>
      <c r="B113" s="3">
        <v>-0.10100000000000001</v>
      </c>
      <c r="C113" s="3" t="s">
        <v>12</v>
      </c>
    </row>
    <row r="114" spans="1:4" x14ac:dyDescent="0.2">
      <c r="A114" s="7" t="s">
        <v>539</v>
      </c>
      <c r="B114" s="3">
        <v>0.19600000000000001</v>
      </c>
      <c r="C114" s="3" t="s">
        <v>13</v>
      </c>
    </row>
    <row r="115" spans="1:4" x14ac:dyDescent="0.2">
      <c r="A115" s="15" t="s">
        <v>542</v>
      </c>
      <c r="B115" s="3">
        <v>0.32400000000000001</v>
      </c>
      <c r="C115" s="3" t="s">
        <v>13</v>
      </c>
    </row>
    <row r="116" spans="1:4" x14ac:dyDescent="0.2">
      <c r="A116" s="15" t="s">
        <v>543</v>
      </c>
      <c r="B116" s="3">
        <v>-0.42</v>
      </c>
      <c r="C116" s="3" t="s">
        <v>12</v>
      </c>
    </row>
    <row r="117" spans="1:4" x14ac:dyDescent="0.2">
      <c r="A117" s="15" t="s">
        <v>544</v>
      </c>
      <c r="B117" s="3">
        <v>-8.0000000000000002E-3</v>
      </c>
      <c r="C117" s="3" t="s">
        <v>12</v>
      </c>
    </row>
    <row r="118" spans="1:4" x14ac:dyDescent="0.2">
      <c r="A118" s="15" t="s">
        <v>545</v>
      </c>
      <c r="B118" s="3">
        <v>0.42299999999999999</v>
      </c>
      <c r="C118" s="3" t="s">
        <v>13</v>
      </c>
    </row>
    <row r="119" spans="1:4" x14ac:dyDescent="0.2">
      <c r="A119" s="15" t="s">
        <v>546</v>
      </c>
      <c r="B119" s="3">
        <v>-0.35199999999999998</v>
      </c>
      <c r="C119" s="3" t="s">
        <v>12</v>
      </c>
      <c r="D119" t="s">
        <v>452</v>
      </c>
    </row>
    <row r="120" spans="1:4" x14ac:dyDescent="0.2">
      <c r="A120" s="15" t="s">
        <v>547</v>
      </c>
      <c r="B120" s="3">
        <v>-0.28799999999999998</v>
      </c>
      <c r="C120" s="3" t="s">
        <v>12</v>
      </c>
    </row>
    <row r="121" spans="1:4" x14ac:dyDescent="0.2">
      <c r="A121" s="15" t="s">
        <v>552</v>
      </c>
      <c r="B121" s="3">
        <v>0.307</v>
      </c>
      <c r="C121" s="3" t="s">
        <v>13</v>
      </c>
    </row>
    <row r="122" spans="1:4" x14ac:dyDescent="0.2">
      <c r="A122" s="15" t="s">
        <v>553</v>
      </c>
      <c r="B122" s="3">
        <v>0.57599999999999996</v>
      </c>
      <c r="C122" s="3" t="s">
        <v>13</v>
      </c>
    </row>
    <row r="123" spans="1:4" x14ac:dyDescent="0.2">
      <c r="A123" s="15" t="s">
        <v>548</v>
      </c>
      <c r="B123" s="3">
        <v>-0.63700000000000001</v>
      </c>
      <c r="C123" s="3" t="s">
        <v>12</v>
      </c>
    </row>
    <row r="124" spans="1:4" x14ac:dyDescent="0.2">
      <c r="A124" s="15" t="s">
        <v>549</v>
      </c>
      <c r="B124" s="3">
        <v>-0.71399999999999997</v>
      </c>
      <c r="C124" s="3" t="s">
        <v>12</v>
      </c>
    </row>
    <row r="125" spans="1:4" x14ac:dyDescent="0.2">
      <c r="A125" s="15" t="s">
        <v>550</v>
      </c>
      <c r="B125" s="3">
        <v>-0.25800000000000001</v>
      </c>
      <c r="C125" s="3" t="s">
        <v>12</v>
      </c>
    </row>
    <row r="126" spans="1:4" x14ac:dyDescent="0.2">
      <c r="A126" s="15" t="s">
        <v>551</v>
      </c>
      <c r="B126" s="3">
        <v>-0.08</v>
      </c>
      <c r="C126" s="3" t="s">
        <v>12</v>
      </c>
    </row>
    <row r="127" spans="1:4" x14ac:dyDescent="0.2">
      <c r="A127" s="15" t="s">
        <v>520</v>
      </c>
      <c r="B127" s="3">
        <v>0.45400000000000001</v>
      </c>
      <c r="C127" s="3" t="s">
        <v>13</v>
      </c>
    </row>
    <row r="128" spans="1:4" x14ac:dyDescent="0.2">
      <c r="A128" s="15" t="s">
        <v>554</v>
      </c>
      <c r="B128" s="3">
        <v>0.17299999999999999</v>
      </c>
      <c r="C128" s="3" t="s">
        <v>13</v>
      </c>
    </row>
    <row r="129" spans="1:4" x14ac:dyDescent="0.2">
      <c r="A129" s="15" t="s">
        <v>570</v>
      </c>
      <c r="B129" s="3">
        <v>0.375</v>
      </c>
      <c r="C129" s="3" t="s">
        <v>13</v>
      </c>
      <c r="D129" t="s">
        <v>452</v>
      </c>
    </row>
    <row r="130" spans="1:4" x14ac:dyDescent="0.2">
      <c r="A130" s="15" t="s">
        <v>555</v>
      </c>
      <c r="B130" s="3">
        <v>4.1000000000000002E-2</v>
      </c>
      <c r="C130" s="3" t="s">
        <v>13</v>
      </c>
    </row>
    <row r="131" spans="1:4" x14ac:dyDescent="0.2">
      <c r="A131" s="15" t="s">
        <v>556</v>
      </c>
      <c r="B131" s="3">
        <v>2.4E-2</v>
      </c>
      <c r="C131" s="3" t="s">
        <v>13</v>
      </c>
      <c r="D131" t="s">
        <v>452</v>
      </c>
    </row>
    <row r="132" spans="1:4" x14ac:dyDescent="0.2">
      <c r="A132" s="15" t="s">
        <v>557</v>
      </c>
      <c r="B132" s="17" t="s">
        <v>610</v>
      </c>
      <c r="C132" s="17"/>
      <c r="D132" t="s">
        <v>452</v>
      </c>
    </row>
    <row r="133" spans="1:4" x14ac:dyDescent="0.2">
      <c r="A133" s="15" t="s">
        <v>558</v>
      </c>
      <c r="B133" s="3">
        <v>2.7E-2</v>
      </c>
      <c r="C133" s="3" t="s">
        <v>13</v>
      </c>
    </row>
    <row r="134" spans="1:4" x14ac:dyDescent="0.2">
      <c r="A134" s="15" t="s">
        <v>559</v>
      </c>
      <c r="B134" s="3" t="s">
        <v>571</v>
      </c>
      <c r="C134" s="3"/>
    </row>
    <row r="135" spans="1:4" x14ac:dyDescent="0.2">
      <c r="A135" s="15" t="s">
        <v>560</v>
      </c>
      <c r="B135" s="3">
        <v>-0.76</v>
      </c>
      <c r="C135" s="3" t="s">
        <v>12</v>
      </c>
    </row>
    <row r="136" spans="1:4" x14ac:dyDescent="0.2">
      <c r="A136" s="15" t="s">
        <v>561</v>
      </c>
      <c r="B136" s="3">
        <v>-0.104</v>
      </c>
      <c r="C136" s="3" t="s">
        <v>12</v>
      </c>
    </row>
    <row r="137" spans="1:4" x14ac:dyDescent="0.2">
      <c r="A137" s="15" t="s">
        <v>562</v>
      </c>
      <c r="B137" s="3">
        <v>-0.17100000000000001</v>
      </c>
      <c r="C137" s="3" t="s">
        <v>12</v>
      </c>
    </row>
    <row r="138" spans="1:4" x14ac:dyDescent="0.2">
      <c r="A138" s="15" t="s">
        <v>563</v>
      </c>
      <c r="B138" s="4">
        <v>-1</v>
      </c>
      <c r="C138" s="3" t="s">
        <v>540</v>
      </c>
    </row>
    <row r="139" spans="1:4" x14ac:dyDescent="0.2">
      <c r="A139" s="15" t="s">
        <v>564</v>
      </c>
      <c r="B139" s="3">
        <v>-0.02</v>
      </c>
      <c r="C139" s="3" t="s">
        <v>12</v>
      </c>
    </row>
    <row r="140" spans="1:4" x14ac:dyDescent="0.2">
      <c r="A140" s="15" t="s">
        <v>565</v>
      </c>
      <c r="B140" s="3">
        <v>-8.7999999999999995E-2</v>
      </c>
      <c r="C140" s="3" t="s">
        <v>12</v>
      </c>
      <c r="D140" t="s">
        <v>452</v>
      </c>
    </row>
    <row r="141" spans="1:4" x14ac:dyDescent="0.2">
      <c r="A141" s="15" t="s">
        <v>566</v>
      </c>
      <c r="B141" s="3">
        <v>-0.71399999999999997</v>
      </c>
      <c r="C141" s="3" t="s">
        <v>12</v>
      </c>
    </row>
    <row r="142" spans="1:4" x14ac:dyDescent="0.2">
      <c r="A142" s="15" t="s">
        <v>567</v>
      </c>
      <c r="B142" s="3">
        <v>0.36199999999999999</v>
      </c>
      <c r="C142" s="3" t="s">
        <v>13</v>
      </c>
    </row>
    <row r="143" spans="1:4" x14ac:dyDescent="0.2">
      <c r="A143" s="7" t="s">
        <v>568</v>
      </c>
      <c r="B143" s="3">
        <v>1.6E-2</v>
      </c>
      <c r="C143" s="3" t="s">
        <v>13</v>
      </c>
    </row>
    <row r="144" spans="1:4" x14ac:dyDescent="0.2">
      <c r="A144" s="7" t="s">
        <v>569</v>
      </c>
      <c r="B144" s="3">
        <v>0.33500000000000002</v>
      </c>
      <c r="C144" s="3" t="s">
        <v>13</v>
      </c>
    </row>
    <row r="145" spans="1:3" x14ac:dyDescent="0.2">
      <c r="A145" s="7" t="s">
        <v>572</v>
      </c>
      <c r="B145" s="3">
        <v>0.41</v>
      </c>
      <c r="C145" s="3" t="s">
        <v>13</v>
      </c>
    </row>
    <row r="146" spans="1:3" x14ac:dyDescent="0.2">
      <c r="A146" s="7" t="s">
        <v>573</v>
      </c>
      <c r="B146" s="3">
        <v>0.19</v>
      </c>
      <c r="C146" s="3" t="s">
        <v>13</v>
      </c>
    </row>
    <row r="147" spans="1:3" x14ac:dyDescent="0.2">
      <c r="A147" s="7" t="s">
        <v>574</v>
      </c>
      <c r="B147" s="3">
        <v>0.43</v>
      </c>
      <c r="C147" s="3" t="s">
        <v>13</v>
      </c>
    </row>
    <row r="148" spans="1:3" x14ac:dyDescent="0.2">
      <c r="A148" s="7" t="s">
        <v>575</v>
      </c>
      <c r="B148" s="3">
        <v>0.26100000000000001</v>
      </c>
      <c r="C148" s="3" t="s">
        <v>13</v>
      </c>
    </row>
    <row r="149" spans="1:3" x14ac:dyDescent="0.2">
      <c r="A149" s="7" t="s">
        <v>576</v>
      </c>
      <c r="B149" s="3">
        <v>-0.187</v>
      </c>
      <c r="C149" s="3" t="s">
        <v>12</v>
      </c>
    </row>
    <row r="150" spans="1:3" x14ac:dyDescent="0.2">
      <c r="A150" s="7" t="s">
        <v>577</v>
      </c>
      <c r="B150" s="3">
        <v>0.23499999999999999</v>
      </c>
      <c r="C150" s="3" t="s">
        <v>13</v>
      </c>
    </row>
    <row r="151" spans="1:3" x14ac:dyDescent="0.2">
      <c r="A151" s="7" t="s">
        <v>578</v>
      </c>
      <c r="B151" s="3">
        <v>-0.21099999999999999</v>
      </c>
      <c r="C151" s="3" t="s">
        <v>12</v>
      </c>
    </row>
    <row r="152" spans="1:3" x14ac:dyDescent="0.2">
      <c r="A152" s="7" t="s">
        <v>579</v>
      </c>
      <c r="B152" s="3">
        <v>-6.2E-2</v>
      </c>
      <c r="C152" s="3" t="s">
        <v>12</v>
      </c>
    </row>
    <row r="153" spans="1:3" x14ac:dyDescent="0.2">
      <c r="A153" s="7" t="s">
        <v>580</v>
      </c>
      <c r="B153" s="3">
        <v>-0.13400000000000001</v>
      </c>
      <c r="C153" s="3" t="s">
        <v>12</v>
      </c>
    </row>
    <row r="154" spans="1:3" x14ac:dyDescent="0.2">
      <c r="A154" s="7" t="s">
        <v>581</v>
      </c>
      <c r="B154" s="3">
        <v>1.0999999999999999E-2</v>
      </c>
      <c r="C154" s="3" t="s">
        <v>13</v>
      </c>
    </row>
    <row r="155" spans="1:3" x14ac:dyDescent="0.2">
      <c r="A155" s="7" t="s">
        <v>582</v>
      </c>
      <c r="B155" s="3">
        <v>0.28899999999999998</v>
      </c>
      <c r="C155" s="3" t="s">
        <v>13</v>
      </c>
    </row>
    <row r="156" spans="1:3" x14ac:dyDescent="0.2">
      <c r="A156" s="7" t="s">
        <v>583</v>
      </c>
      <c r="B156" s="3">
        <v>5.0999999999999997E-2</v>
      </c>
      <c r="C156" s="3" t="s">
        <v>13</v>
      </c>
    </row>
    <row r="157" spans="1:3" x14ac:dyDescent="0.2">
      <c r="A157" s="7" t="s">
        <v>584</v>
      </c>
      <c r="B157" s="3">
        <v>8.4000000000000005E-2</v>
      </c>
      <c r="C157" s="3" t="s">
        <v>13</v>
      </c>
    </row>
    <row r="158" spans="1:3" x14ac:dyDescent="0.2">
      <c r="A158" s="7" t="s">
        <v>585</v>
      </c>
      <c r="B158" s="3">
        <v>0.443</v>
      </c>
      <c r="C158" s="3" t="s">
        <v>13</v>
      </c>
    </row>
    <row r="159" spans="1:3" x14ac:dyDescent="0.2">
      <c r="A159" s="7" t="s">
        <v>586</v>
      </c>
      <c r="B159" s="3">
        <v>5.7000000000000002E-2</v>
      </c>
      <c r="C159" s="3" t="s">
        <v>13</v>
      </c>
    </row>
    <row r="160" spans="1:3" x14ac:dyDescent="0.2">
      <c r="A160" s="7" t="s">
        <v>587</v>
      </c>
      <c r="B160" s="3">
        <v>0.55000000000000004</v>
      </c>
      <c r="C160" s="3" t="s">
        <v>13</v>
      </c>
    </row>
    <row r="161" spans="1:3" x14ac:dyDescent="0.2">
      <c r="A161" s="7" t="s">
        <v>588</v>
      </c>
      <c r="B161" s="3">
        <v>0.19400000000000001</v>
      </c>
      <c r="C161" s="3" t="s">
        <v>13</v>
      </c>
    </row>
    <row r="162" spans="1:3" x14ac:dyDescent="0.2">
      <c r="A162" s="7" t="s">
        <v>589</v>
      </c>
      <c r="B162" s="3">
        <v>0.159</v>
      </c>
      <c r="C162" s="3" t="s">
        <v>13</v>
      </c>
    </row>
    <row r="163" spans="1:3" x14ac:dyDescent="0.2">
      <c r="A163" s="7" t="s">
        <v>590</v>
      </c>
      <c r="B163" s="3">
        <v>-8.5999999999999993E-2</v>
      </c>
      <c r="C163" s="3" t="s">
        <v>12</v>
      </c>
    </row>
    <row r="164" spans="1:3" x14ac:dyDescent="0.2">
      <c r="A164" s="7" t="s">
        <v>591</v>
      </c>
      <c r="B164" s="3">
        <v>-0.17</v>
      </c>
      <c r="C164" s="3" t="s">
        <v>12</v>
      </c>
    </row>
    <row r="165" spans="1:3" x14ac:dyDescent="0.2">
      <c r="A165" s="7" t="s">
        <v>592</v>
      </c>
      <c r="B165" s="3">
        <v>-0.11799999999999999</v>
      </c>
      <c r="C165" s="3" t="s">
        <v>12</v>
      </c>
    </row>
    <row r="166" spans="1:3" x14ac:dyDescent="0.2">
      <c r="A166" s="7" t="s">
        <v>593</v>
      </c>
      <c r="B166" s="3">
        <v>-5.3999999999999999E-2</v>
      </c>
      <c r="C166" s="3" t="s">
        <v>12</v>
      </c>
    </row>
    <row r="167" spans="1:3" x14ac:dyDescent="0.2">
      <c r="A167" s="7" t="s">
        <v>594</v>
      </c>
      <c r="B167" s="3">
        <v>-0.109</v>
      </c>
      <c r="C167" s="3" t="s">
        <v>12</v>
      </c>
    </row>
    <row r="168" spans="1:3" x14ac:dyDescent="0.2">
      <c r="A168" s="7" t="s">
        <v>595</v>
      </c>
      <c r="B168" s="3">
        <v>0.31</v>
      </c>
      <c r="C168" s="3" t="s">
        <v>13</v>
      </c>
    </row>
    <row r="169" spans="1:3" x14ac:dyDescent="0.2">
      <c r="A169" s="7" t="s">
        <v>596</v>
      </c>
      <c r="B169" s="3">
        <v>-0.253</v>
      </c>
      <c r="C169" s="3" t="s">
        <v>12</v>
      </c>
    </row>
    <row r="170" spans="1:3" x14ac:dyDescent="0.2">
      <c r="A170" s="7" t="s">
        <v>597</v>
      </c>
      <c r="B170" s="3">
        <v>0.44600000000000001</v>
      </c>
      <c r="C170" s="3" t="s">
        <v>13</v>
      </c>
    </row>
    <row r="171" spans="1:3" x14ac:dyDescent="0.2">
      <c r="A171" s="7" t="s">
        <v>598</v>
      </c>
      <c r="B171" s="3">
        <v>-0.16500000000000001</v>
      </c>
      <c r="C171" s="3" t="s">
        <v>12</v>
      </c>
    </row>
    <row r="172" spans="1:3" x14ac:dyDescent="0.2">
      <c r="A172" s="7" t="s">
        <v>599</v>
      </c>
      <c r="B172" s="3">
        <v>-0.55200000000000005</v>
      </c>
      <c r="C172" s="3" t="s">
        <v>12</v>
      </c>
    </row>
    <row r="173" spans="1:3" x14ac:dyDescent="0.2">
      <c r="A173" s="7" t="s">
        <v>600</v>
      </c>
      <c r="B173" s="3">
        <v>0.185</v>
      </c>
      <c r="C173" s="3" t="s">
        <v>13</v>
      </c>
    </row>
    <row r="174" spans="1:3" x14ac:dyDescent="0.2">
      <c r="A174" s="7" t="s">
        <v>601</v>
      </c>
      <c r="B174" s="3">
        <v>0.27200000000000002</v>
      </c>
      <c r="C174" s="3" t="s">
        <v>13</v>
      </c>
    </row>
    <row r="175" spans="1:3" x14ac:dyDescent="0.2">
      <c r="A175" s="7" t="s">
        <v>602</v>
      </c>
      <c r="B175" s="3">
        <v>0.22700000000000001</v>
      </c>
      <c r="C175" s="3" t="s">
        <v>13</v>
      </c>
    </row>
    <row r="176" spans="1:3" x14ac:dyDescent="0.2">
      <c r="A176" s="7" t="s">
        <v>603</v>
      </c>
      <c r="B176" s="3">
        <v>-0.33500000000000002</v>
      </c>
      <c r="C176" s="3" t="s">
        <v>12</v>
      </c>
    </row>
    <row r="177" spans="1:3" x14ac:dyDescent="0.2">
      <c r="A177" s="7" t="s">
        <v>604</v>
      </c>
      <c r="B177" s="3">
        <v>0.107</v>
      </c>
      <c r="C177" s="3" t="s">
        <v>13</v>
      </c>
    </row>
    <row r="178" spans="1:3" x14ac:dyDescent="0.2">
      <c r="A178" s="7" t="s">
        <v>605</v>
      </c>
      <c r="B178" s="3">
        <v>-0.41399999999999998</v>
      </c>
      <c r="C178" s="3" t="s">
        <v>12</v>
      </c>
    </row>
    <row r="179" spans="1:3" x14ac:dyDescent="0.2">
      <c r="A179" s="7" t="s">
        <v>607</v>
      </c>
      <c r="B179" s="3">
        <v>0.19700000000000001</v>
      </c>
      <c r="C179" s="3" t="s">
        <v>13</v>
      </c>
    </row>
    <row r="180" spans="1:3" x14ac:dyDescent="0.2">
      <c r="A180" s="7" t="s">
        <v>608</v>
      </c>
      <c r="B180" s="3">
        <v>-9.0999999999999998E-2</v>
      </c>
      <c r="C180" s="3" t="s">
        <v>12</v>
      </c>
    </row>
    <row r="181" spans="1:3" x14ac:dyDescent="0.2">
      <c r="A181" s="7" t="s">
        <v>609</v>
      </c>
      <c r="B181" s="3">
        <v>-0.38400000000000001</v>
      </c>
      <c r="C181" s="3" t="s">
        <v>12</v>
      </c>
    </row>
    <row r="182" spans="1:3" x14ac:dyDescent="0.2">
      <c r="A182" s="7" t="s">
        <v>611</v>
      </c>
      <c r="B182" s="3">
        <v>-7.0000000000000001E-3</v>
      </c>
      <c r="C182" s="3" t="s">
        <v>12</v>
      </c>
    </row>
    <row r="183" spans="1:3" x14ac:dyDescent="0.2">
      <c r="A183" s="7" t="s">
        <v>612</v>
      </c>
      <c r="B183" s="3">
        <v>-6.9000000000000006E-2</v>
      </c>
      <c r="C183" s="3" t="s">
        <v>12</v>
      </c>
    </row>
    <row r="184" spans="1:3" x14ac:dyDescent="0.2">
      <c r="A184" s="7" t="s">
        <v>613</v>
      </c>
      <c r="B184" s="3">
        <v>-0.20399999999999999</v>
      </c>
      <c r="C184" s="3" t="s">
        <v>12</v>
      </c>
    </row>
    <row r="185" spans="1:3" x14ac:dyDescent="0.2">
      <c r="A185" s="7" t="s">
        <v>615</v>
      </c>
      <c r="B185" s="3">
        <v>-0.35399999999999998</v>
      </c>
      <c r="C185" s="3" t="s">
        <v>12</v>
      </c>
    </row>
    <row r="186" spans="1:3" x14ac:dyDescent="0.2">
      <c r="A186" s="7" t="s">
        <v>616</v>
      </c>
      <c r="B186" s="3">
        <v>0.32500000000000001</v>
      </c>
      <c r="C186" s="3" t="s">
        <v>13</v>
      </c>
    </row>
    <row r="187" spans="1:3" x14ac:dyDescent="0.2">
      <c r="A187" s="7" t="s">
        <v>617</v>
      </c>
      <c r="B187" s="3">
        <v>-0.17499999999999999</v>
      </c>
      <c r="C187" s="3" t="s">
        <v>12</v>
      </c>
    </row>
    <row r="188" spans="1:3" x14ac:dyDescent="0.2">
      <c r="A188" s="7" t="s">
        <v>618</v>
      </c>
      <c r="B188" s="3">
        <v>0.65300000000000002</v>
      </c>
      <c r="C188" s="3" t="s">
        <v>13</v>
      </c>
    </row>
    <row r="189" spans="1:3" x14ac:dyDescent="0.2">
      <c r="A189" s="7" t="s">
        <v>619</v>
      </c>
      <c r="B189" s="3">
        <v>0.13300000000000001</v>
      </c>
      <c r="C189" s="3" t="s">
        <v>13</v>
      </c>
    </row>
    <row r="190" spans="1:3" x14ac:dyDescent="0.2">
      <c r="A190" s="7" t="s">
        <v>620</v>
      </c>
      <c r="B190" s="3">
        <v>8.5000000000000006E-2</v>
      </c>
      <c r="C190" s="3" t="s">
        <v>13</v>
      </c>
    </row>
    <row r="191" spans="1:3" x14ac:dyDescent="0.2">
      <c r="A191" s="7" t="s">
        <v>621</v>
      </c>
      <c r="B191" s="3">
        <v>-0.108</v>
      </c>
      <c r="C191" s="3" t="s">
        <v>12</v>
      </c>
    </row>
    <row r="192" spans="1:3" x14ac:dyDescent="0.2">
      <c r="A192" s="7" t="s">
        <v>623</v>
      </c>
      <c r="B192" s="4">
        <v>0.08</v>
      </c>
      <c r="C192" s="3" t="s">
        <v>13</v>
      </c>
    </row>
    <row r="193" spans="1:4" ht="16.5" customHeight="1" x14ac:dyDescent="0.2">
      <c r="A193" s="7" t="s">
        <v>624</v>
      </c>
      <c r="B193" s="3">
        <v>9.7000000000000003E-2</v>
      </c>
      <c r="C193" s="3" t="s">
        <v>13</v>
      </c>
    </row>
    <row r="194" spans="1:4" x14ac:dyDescent="0.2">
      <c r="A194" s="7" t="s">
        <v>625</v>
      </c>
      <c r="B194" s="3">
        <v>-0.157</v>
      </c>
      <c r="C194" s="3" t="s">
        <v>12</v>
      </c>
    </row>
    <row r="195" spans="1:4" x14ac:dyDescent="0.2">
      <c r="A195" s="7" t="s">
        <v>535</v>
      </c>
      <c r="B195" s="3">
        <v>0.29399999999999998</v>
      </c>
      <c r="C195" s="3" t="s">
        <v>13</v>
      </c>
    </row>
    <row r="196" spans="1:4" x14ac:dyDescent="0.2">
      <c r="A196" s="7" t="s">
        <v>626</v>
      </c>
      <c r="B196" s="3">
        <v>-0.57699999999999996</v>
      </c>
      <c r="C196" s="3" t="s">
        <v>12</v>
      </c>
    </row>
    <row r="197" spans="1:4" x14ac:dyDescent="0.2">
      <c r="A197" s="7" t="s">
        <v>627</v>
      </c>
      <c r="B197" s="3">
        <v>-0.23799999999999999</v>
      </c>
      <c r="C197" s="3" t="s">
        <v>12</v>
      </c>
    </row>
    <row r="198" spans="1:4" x14ac:dyDescent="0.2">
      <c r="A198" s="7" t="s">
        <v>628</v>
      </c>
      <c r="B198" s="3">
        <v>0.20399999999999999</v>
      </c>
      <c r="C198" s="3" t="s">
        <v>13</v>
      </c>
    </row>
    <row r="199" spans="1:4" x14ac:dyDescent="0.2">
      <c r="A199" s="7" t="s">
        <v>629</v>
      </c>
      <c r="B199" s="3">
        <v>-0.495</v>
      </c>
      <c r="C199" s="3" t="s">
        <v>12</v>
      </c>
    </row>
    <row r="200" spans="1:4" x14ac:dyDescent="0.2">
      <c r="A200" s="7" t="s">
        <v>630</v>
      </c>
      <c r="B200" s="3">
        <v>9.8000000000000004E-2</v>
      </c>
      <c r="C200" s="3" t="s">
        <v>13</v>
      </c>
    </row>
    <row r="201" spans="1:4" x14ac:dyDescent="0.2">
      <c r="A201" s="7" t="s">
        <v>631</v>
      </c>
      <c r="B201" s="3">
        <v>0.115</v>
      </c>
      <c r="C201" s="3" t="s">
        <v>13</v>
      </c>
    </row>
    <row r="202" spans="1:4" x14ac:dyDescent="0.2">
      <c r="A202" s="7" t="s">
        <v>632</v>
      </c>
      <c r="B202" s="3">
        <v>7.3999999999999996E-2</v>
      </c>
      <c r="C202" s="3" t="s">
        <v>13</v>
      </c>
      <c r="D202" t="s">
        <v>452</v>
      </c>
    </row>
    <row r="203" spans="1:4" x14ac:dyDescent="0.2">
      <c r="A203" s="15" t="s">
        <v>633</v>
      </c>
      <c r="B203" s="3">
        <v>7.6999999999999999E-2</v>
      </c>
      <c r="C203" s="3" t="s">
        <v>13</v>
      </c>
    </row>
    <row r="204" spans="1:4" x14ac:dyDescent="0.2">
      <c r="A204" s="15" t="s">
        <v>634</v>
      </c>
      <c r="B204" s="4">
        <v>0.09</v>
      </c>
      <c r="C204" s="3" t="s">
        <v>13</v>
      </c>
    </row>
    <row r="205" spans="1:4" x14ac:dyDescent="0.2">
      <c r="A205" s="15" t="s">
        <v>635</v>
      </c>
      <c r="B205" s="3">
        <v>0.35699999999999998</v>
      </c>
      <c r="C205" s="3" t="s">
        <v>13</v>
      </c>
    </row>
    <row r="206" spans="1:4" x14ac:dyDescent="0.2">
      <c r="A206" s="15" t="s">
        <v>636</v>
      </c>
      <c r="B206" s="3">
        <v>-0.22700000000000001</v>
      </c>
      <c r="C206" s="3" t="s">
        <v>12</v>
      </c>
    </row>
    <row r="207" spans="1:4" x14ac:dyDescent="0.2">
      <c r="A207" s="15" t="s">
        <v>637</v>
      </c>
      <c r="B207" s="3">
        <v>0.27400000000000002</v>
      </c>
      <c r="C207" s="3" t="s">
        <v>13</v>
      </c>
    </row>
    <row r="208" spans="1:4" x14ac:dyDescent="0.2">
      <c r="A208" s="15" t="s">
        <v>638</v>
      </c>
      <c r="B208" s="3">
        <v>0.48299999999999998</v>
      </c>
      <c r="C208" s="3" t="s">
        <v>13</v>
      </c>
    </row>
    <row r="209" spans="1:4" x14ac:dyDescent="0.2">
      <c r="A209" s="15" t="s">
        <v>639</v>
      </c>
      <c r="B209" s="3">
        <v>0.371</v>
      </c>
      <c r="C209" s="3" t="s">
        <v>13</v>
      </c>
    </row>
    <row r="210" spans="1:4" x14ac:dyDescent="0.2">
      <c r="A210" s="15" t="s">
        <v>640</v>
      </c>
      <c r="B210" s="3">
        <v>-0.19900000000000001</v>
      </c>
      <c r="C210" s="3" t="s">
        <v>12</v>
      </c>
    </row>
    <row r="211" spans="1:4" x14ac:dyDescent="0.2">
      <c r="A211" s="15" t="s">
        <v>641</v>
      </c>
      <c r="B211" s="3">
        <v>-8.9999999999999993E-3</v>
      </c>
      <c r="C211" s="3" t="s">
        <v>12</v>
      </c>
    </row>
    <row r="212" spans="1:4" x14ac:dyDescent="0.2">
      <c r="A212" s="15" t="s">
        <v>642</v>
      </c>
      <c r="B212" s="18">
        <v>0.15</v>
      </c>
      <c r="C212" s="3" t="s">
        <v>13</v>
      </c>
    </row>
    <row r="213" spans="1:4" x14ac:dyDescent="0.2">
      <c r="A213" s="15" t="s">
        <v>643</v>
      </c>
      <c r="B213" s="3">
        <v>0.46300000000000002</v>
      </c>
      <c r="C213" s="3" t="s">
        <v>13</v>
      </c>
    </row>
    <row r="214" spans="1:4" x14ac:dyDescent="0.2">
      <c r="A214" s="15" t="s">
        <v>644</v>
      </c>
      <c r="B214" s="3">
        <v>0.128</v>
      </c>
      <c r="C214" s="3" t="s">
        <v>13</v>
      </c>
    </row>
    <row r="215" spans="1:4" x14ac:dyDescent="0.2">
      <c r="A215" s="15" t="s">
        <v>646</v>
      </c>
      <c r="B215" s="3">
        <v>-0.85199999999999998</v>
      </c>
      <c r="C215" s="3" t="s">
        <v>12</v>
      </c>
    </row>
    <row r="216" spans="1:4" x14ac:dyDescent="0.2">
      <c r="A216" s="15" t="s">
        <v>647</v>
      </c>
      <c r="B216" s="3">
        <v>9.4E-2</v>
      </c>
      <c r="C216" s="3" t="s">
        <v>13</v>
      </c>
      <c r="D216" t="s">
        <v>452</v>
      </c>
    </row>
    <row r="217" spans="1:4" x14ac:dyDescent="0.2">
      <c r="A217" s="15" t="s">
        <v>648</v>
      </c>
      <c r="B217" s="3">
        <v>-0.54600000000000004</v>
      </c>
      <c r="C217" s="3" t="s">
        <v>12</v>
      </c>
    </row>
    <row r="218" spans="1:4" x14ac:dyDescent="0.2">
      <c r="A218" s="15" t="s">
        <v>649</v>
      </c>
      <c r="B218" s="3">
        <v>-0.19500000000000001</v>
      </c>
      <c r="C218" s="3" t="s">
        <v>12</v>
      </c>
      <c r="D218" t="s">
        <v>452</v>
      </c>
    </row>
    <row r="219" spans="1:4" x14ac:dyDescent="0.2">
      <c r="A219" s="15" t="s">
        <v>650</v>
      </c>
      <c r="B219" s="3">
        <v>0.16200000000000001</v>
      </c>
      <c r="C219" s="3" t="s">
        <v>13</v>
      </c>
    </row>
    <row r="220" spans="1:4" x14ac:dyDescent="0.2">
      <c r="A220" s="15" t="s">
        <v>651</v>
      </c>
      <c r="B220" s="3">
        <v>-0.29199999999999998</v>
      </c>
      <c r="C220" s="3" t="s">
        <v>12</v>
      </c>
    </row>
    <row r="221" spans="1:4" x14ac:dyDescent="0.2">
      <c r="A221" s="7" t="s">
        <v>652</v>
      </c>
      <c r="B221" s="3">
        <v>0.17199999999999999</v>
      </c>
      <c r="C221" s="3" t="s">
        <v>13</v>
      </c>
      <c r="D221" t="s">
        <v>452</v>
      </c>
    </row>
    <row r="222" spans="1:4" x14ac:dyDescent="0.2">
      <c r="A222" s="7" t="s">
        <v>653</v>
      </c>
      <c r="B222" s="3">
        <v>-0.38500000000000001</v>
      </c>
      <c r="C222" s="3" t="s">
        <v>12</v>
      </c>
      <c r="D222" t="s">
        <v>452</v>
      </c>
    </row>
    <row r="223" spans="1:4" x14ac:dyDescent="0.2">
      <c r="A223" s="7" t="s">
        <v>654</v>
      </c>
      <c r="B223" s="3">
        <v>0.34599999999999997</v>
      </c>
      <c r="C223" s="3" t="s">
        <v>13</v>
      </c>
    </row>
    <row r="224" spans="1:4" x14ac:dyDescent="0.2">
      <c r="A224" s="7" t="s">
        <v>655</v>
      </c>
      <c r="B224" s="3">
        <v>-0.66400000000000003</v>
      </c>
      <c r="C224" s="3" t="s">
        <v>12</v>
      </c>
    </row>
    <row r="225" spans="1:4" x14ac:dyDescent="0.2">
      <c r="A225" s="7" t="s">
        <v>656</v>
      </c>
      <c r="B225" s="3">
        <v>0.45700000000000002</v>
      </c>
      <c r="C225" s="3" t="s">
        <v>13</v>
      </c>
    </row>
    <row r="226" spans="1:4" x14ac:dyDescent="0.2">
      <c r="A226" s="7" t="s">
        <v>657</v>
      </c>
      <c r="B226" s="3">
        <v>0.11700000000000001</v>
      </c>
      <c r="C226" s="3" t="s">
        <v>13</v>
      </c>
      <c r="D226" t="s">
        <v>452</v>
      </c>
    </row>
    <row r="227" spans="1:4" x14ac:dyDescent="0.2">
      <c r="A227" s="7" t="s">
        <v>658</v>
      </c>
      <c r="B227" s="3">
        <v>0.20499999999999999</v>
      </c>
      <c r="C227" s="3" t="s">
        <v>13</v>
      </c>
    </row>
    <row r="228" spans="1:4" x14ac:dyDescent="0.2">
      <c r="A228" s="7" t="s">
        <v>659</v>
      </c>
      <c r="B228" s="3">
        <v>-0.222</v>
      </c>
      <c r="C228" s="3" t="s">
        <v>12</v>
      </c>
    </row>
    <row r="229" spans="1:4" x14ac:dyDescent="0.2">
      <c r="A229" s="7" t="s">
        <v>660</v>
      </c>
      <c r="B229" s="3">
        <v>3.6999999999999998E-2</v>
      </c>
      <c r="C229" s="3" t="s">
        <v>13</v>
      </c>
    </row>
    <row r="230" spans="1:4" x14ac:dyDescent="0.2">
      <c r="A230" s="7" t="s">
        <v>661</v>
      </c>
      <c r="B230" s="3">
        <v>-0.39100000000000001</v>
      </c>
      <c r="C230" s="3" t="s">
        <v>12</v>
      </c>
    </row>
    <row r="231" spans="1:4" x14ac:dyDescent="0.2">
      <c r="A231" s="7" t="s">
        <v>663</v>
      </c>
      <c r="B231" s="3">
        <v>-0.156</v>
      </c>
      <c r="C231" s="3" t="s">
        <v>12</v>
      </c>
    </row>
    <row r="232" spans="1:4" x14ac:dyDescent="0.2">
      <c r="A232" s="7" t="s">
        <v>664</v>
      </c>
      <c r="B232" s="3">
        <v>0.42399999999999999</v>
      </c>
      <c r="C232" s="3" t="s">
        <v>13</v>
      </c>
    </row>
    <row r="233" spans="1:4" x14ac:dyDescent="0.2">
      <c r="A233" s="7" t="s">
        <v>665</v>
      </c>
      <c r="B233" s="3">
        <v>-0.13100000000000001</v>
      </c>
      <c r="C233" s="3" t="s">
        <v>12</v>
      </c>
    </row>
    <row r="234" spans="1:4" x14ac:dyDescent="0.2">
      <c r="A234" s="7" t="s">
        <v>666</v>
      </c>
      <c r="B234" s="3">
        <v>-7.8E-2</v>
      </c>
      <c r="C234" s="3" t="s">
        <v>12</v>
      </c>
    </row>
    <row r="235" spans="1:4" x14ac:dyDescent="0.2">
      <c r="A235" s="7" t="s">
        <v>667</v>
      </c>
      <c r="B235" s="3">
        <v>-0.22500000000000001</v>
      </c>
      <c r="C235" s="3" t="s">
        <v>12</v>
      </c>
    </row>
    <row r="236" spans="1:4" x14ac:dyDescent="0.2">
      <c r="A236" s="7" t="s">
        <v>668</v>
      </c>
      <c r="B236" s="3">
        <v>-0.129</v>
      </c>
      <c r="C236" s="3" t="s">
        <v>12</v>
      </c>
    </row>
    <row r="237" spans="1:4" x14ac:dyDescent="0.2">
      <c r="A237" s="7" t="s">
        <v>669</v>
      </c>
      <c r="B237" s="3">
        <v>0.25800000000000001</v>
      </c>
      <c r="C237" s="3" t="s">
        <v>13</v>
      </c>
    </row>
    <row r="238" spans="1:4" x14ac:dyDescent="0.2">
      <c r="A238" s="7" t="s">
        <v>670</v>
      </c>
      <c r="B238" s="3">
        <v>0.505</v>
      </c>
      <c r="C238" s="3" t="s">
        <v>13</v>
      </c>
    </row>
    <row r="239" spans="1:4" x14ac:dyDescent="0.2">
      <c r="A239" s="15" t="s">
        <v>671</v>
      </c>
      <c r="B239" s="3">
        <v>-4.4999999999999998E-2</v>
      </c>
      <c r="C239" s="3" t="s">
        <v>12</v>
      </c>
    </row>
    <row r="240" spans="1:4" x14ac:dyDescent="0.2">
      <c r="A240" s="15" t="s">
        <v>672</v>
      </c>
      <c r="B240" s="3">
        <v>-0.127</v>
      </c>
      <c r="C240" s="3" t="s">
        <v>12</v>
      </c>
      <c r="D240" t="s">
        <v>452</v>
      </c>
    </row>
    <row r="241" spans="1:4" x14ac:dyDescent="0.2">
      <c r="A241" s="15" t="s">
        <v>673</v>
      </c>
      <c r="B241" s="3">
        <v>-4.3999999999999997E-2</v>
      </c>
      <c r="C241" s="3" t="s">
        <v>12</v>
      </c>
    </row>
    <row r="242" spans="1:4" x14ac:dyDescent="0.2">
      <c r="A242" s="15" t="s">
        <v>674</v>
      </c>
      <c r="B242" s="3">
        <v>-0.17399999999999999</v>
      </c>
      <c r="C242" s="3" t="s">
        <v>12</v>
      </c>
    </row>
    <row r="243" spans="1:4" x14ac:dyDescent="0.2">
      <c r="A243" s="15" t="s">
        <v>675</v>
      </c>
      <c r="B243" s="3">
        <v>0.14099999999999999</v>
      </c>
      <c r="C243" s="3" t="s">
        <v>13</v>
      </c>
    </row>
    <row r="244" spans="1:4" x14ac:dyDescent="0.2">
      <c r="A244" s="15" t="s">
        <v>676</v>
      </c>
      <c r="B244" s="3">
        <v>-0.56000000000000005</v>
      </c>
      <c r="C244" s="3" t="s">
        <v>12</v>
      </c>
    </row>
    <row r="245" spans="1:4" x14ac:dyDescent="0.2">
      <c r="A245" s="15" t="s">
        <v>677</v>
      </c>
      <c r="B245" s="3">
        <v>7.8E-2</v>
      </c>
      <c r="C245" s="3" t="s">
        <v>13</v>
      </c>
    </row>
    <row r="246" spans="1:4" x14ac:dyDescent="0.2">
      <c r="A246" s="15" t="s">
        <v>678</v>
      </c>
      <c r="B246" s="3">
        <v>-0.17</v>
      </c>
      <c r="C246" s="3" t="s">
        <v>12</v>
      </c>
    </row>
    <row r="247" spans="1:4" x14ac:dyDescent="0.2">
      <c r="A247" s="15" t="s">
        <v>679</v>
      </c>
      <c r="B247" s="3">
        <v>0.40500000000000003</v>
      </c>
      <c r="C247" s="3" t="s">
        <v>13</v>
      </c>
    </row>
    <row r="248" spans="1:4" x14ac:dyDescent="0.2">
      <c r="A248" s="15" t="s">
        <v>681</v>
      </c>
      <c r="B248" s="3">
        <v>4.7E-2</v>
      </c>
      <c r="C248" s="3" t="s">
        <v>13</v>
      </c>
    </row>
    <row r="249" spans="1:4" x14ac:dyDescent="0.2">
      <c r="A249" s="15" t="s">
        <v>682</v>
      </c>
      <c r="B249" s="3">
        <v>0.17599999999999999</v>
      </c>
      <c r="C249" s="3" t="s">
        <v>13</v>
      </c>
    </row>
    <row r="250" spans="1:4" x14ac:dyDescent="0.2">
      <c r="A250" s="15" t="s">
        <v>683</v>
      </c>
      <c r="B250" s="3">
        <v>0.123</v>
      </c>
      <c r="C250" s="3" t="s">
        <v>13</v>
      </c>
      <c r="D250" t="s">
        <v>452</v>
      </c>
    </row>
    <row r="251" spans="1:4" x14ac:dyDescent="0.2">
      <c r="A251" s="15" t="s">
        <v>684</v>
      </c>
      <c r="B251" s="3">
        <v>0.497</v>
      </c>
      <c r="C251" s="3" t="s">
        <v>13</v>
      </c>
    </row>
    <row r="252" spans="1:4" x14ac:dyDescent="0.2">
      <c r="A252" s="15" t="s">
        <v>685</v>
      </c>
      <c r="B252" s="3">
        <v>0.45900000000000002</v>
      </c>
      <c r="C252" s="3" t="s">
        <v>13</v>
      </c>
    </row>
    <row r="253" spans="1:4" x14ac:dyDescent="0.2">
      <c r="A253" s="15" t="s">
        <v>686</v>
      </c>
      <c r="B253" s="3">
        <v>0.23899999999999999</v>
      </c>
      <c r="C253" s="3" t="s">
        <v>13</v>
      </c>
    </row>
    <row r="254" spans="1:4" x14ac:dyDescent="0.2">
      <c r="A254" s="15" t="s">
        <v>687</v>
      </c>
      <c r="B254" s="3">
        <v>-0.33500000000000002</v>
      </c>
      <c r="C254" s="3" t="s">
        <v>12</v>
      </c>
    </row>
    <row r="255" spans="1:4" x14ac:dyDescent="0.2">
      <c r="A255" s="15" t="s">
        <v>688</v>
      </c>
      <c r="B255" s="17" t="s">
        <v>610</v>
      </c>
      <c r="C255" s="17"/>
      <c r="D255" t="s">
        <v>452</v>
      </c>
    </row>
    <row r="256" spans="1:4" x14ac:dyDescent="0.2">
      <c r="A256" s="15" t="s">
        <v>689</v>
      </c>
      <c r="B256" s="3">
        <v>0.127</v>
      </c>
      <c r="C256" s="3" t="s">
        <v>13</v>
      </c>
    </row>
    <row r="257" spans="1:4" x14ac:dyDescent="0.2">
      <c r="A257" s="15" t="s">
        <v>691</v>
      </c>
      <c r="B257" s="3">
        <v>-0.53600000000000003</v>
      </c>
      <c r="C257" s="3" t="s">
        <v>12</v>
      </c>
    </row>
    <row r="258" spans="1:4" x14ac:dyDescent="0.2">
      <c r="A258" s="15" t="s">
        <v>692</v>
      </c>
      <c r="B258" s="3">
        <v>0.309</v>
      </c>
      <c r="C258" s="3" t="s">
        <v>13</v>
      </c>
    </row>
    <row r="259" spans="1:4" x14ac:dyDescent="0.2">
      <c r="A259" s="15" t="s">
        <v>662</v>
      </c>
      <c r="B259" s="4">
        <v>0.28000000000000003</v>
      </c>
      <c r="C259" s="3" t="s">
        <v>13</v>
      </c>
    </row>
    <row r="260" spans="1:4" x14ac:dyDescent="0.2">
      <c r="A260" s="15" t="s">
        <v>693</v>
      </c>
      <c r="B260" s="3">
        <v>0.439</v>
      </c>
      <c r="C260" s="3" t="s">
        <v>13</v>
      </c>
      <c r="D260" t="s">
        <v>452</v>
      </c>
    </row>
    <row r="261" spans="1:4" x14ac:dyDescent="0.2">
      <c r="A261" s="15" t="s">
        <v>694</v>
      </c>
      <c r="B261" s="3">
        <v>0.48499999999999999</v>
      </c>
      <c r="C261" s="3" t="s">
        <v>13</v>
      </c>
      <c r="D261" t="s">
        <v>452</v>
      </c>
    </row>
    <row r="262" spans="1:4" x14ac:dyDescent="0.2">
      <c r="A262" s="7" t="s">
        <v>696</v>
      </c>
      <c r="B262" s="4">
        <v>0.35</v>
      </c>
      <c r="C262" s="3" t="s">
        <v>13</v>
      </c>
    </row>
    <row r="263" spans="1:4" x14ac:dyDescent="0.2">
      <c r="A263" s="7" t="s">
        <v>697</v>
      </c>
      <c r="B263" s="3">
        <v>-6.4000000000000001E-2</v>
      </c>
      <c r="C263" s="3" t="s">
        <v>12</v>
      </c>
    </row>
    <row r="264" spans="1:4" x14ac:dyDescent="0.2">
      <c r="A264" s="7" t="s">
        <v>698</v>
      </c>
      <c r="B264" s="3">
        <v>-0.13300000000000001</v>
      </c>
      <c r="C264" s="3" t="s">
        <v>12</v>
      </c>
    </row>
    <row r="265" spans="1:4" x14ac:dyDescent="0.2">
      <c r="A265" s="7" t="s">
        <v>699</v>
      </c>
      <c r="B265" s="3">
        <v>8.1000000000000003E-2</v>
      </c>
      <c r="C265" s="3" t="s">
        <v>13</v>
      </c>
    </row>
    <row r="266" spans="1:4" x14ac:dyDescent="0.2">
      <c r="A266" s="7" t="s">
        <v>700</v>
      </c>
      <c r="B266" s="3">
        <v>-0.32800000000000001</v>
      </c>
      <c r="C266" s="3" t="s">
        <v>12</v>
      </c>
    </row>
    <row r="267" spans="1:4" x14ac:dyDescent="0.2">
      <c r="A267" s="7" t="s">
        <v>701</v>
      </c>
      <c r="B267" s="3">
        <v>3.5999999999999997E-2</v>
      </c>
      <c r="C267" s="3" t="s">
        <v>13</v>
      </c>
    </row>
    <row r="268" spans="1:4" x14ac:dyDescent="0.2">
      <c r="A268" s="7" t="s">
        <v>702</v>
      </c>
      <c r="B268" s="3">
        <v>0.19</v>
      </c>
      <c r="C268" s="3" t="s">
        <v>13</v>
      </c>
    </row>
    <row r="269" spans="1:4" x14ac:dyDescent="0.2">
      <c r="A269" s="19" t="s">
        <v>703</v>
      </c>
      <c r="B269" s="3">
        <v>9.6000000000000002E-2</v>
      </c>
      <c r="C269" s="3" t="s">
        <v>13</v>
      </c>
    </row>
    <row r="270" spans="1:4" x14ac:dyDescent="0.2">
      <c r="A270" s="19" t="s">
        <v>645</v>
      </c>
      <c r="B270" s="3">
        <v>-0.26500000000000001</v>
      </c>
      <c r="C270" s="3" t="s">
        <v>12</v>
      </c>
    </row>
    <row r="271" spans="1:4" x14ac:dyDescent="0.2">
      <c r="A271" s="7" t="s">
        <v>705</v>
      </c>
      <c r="B271" s="3">
        <v>0.16500000000000001</v>
      </c>
      <c r="C271" s="3" t="s">
        <v>13</v>
      </c>
    </row>
    <row r="272" spans="1:4" x14ac:dyDescent="0.2">
      <c r="A272" s="7" t="s">
        <v>695</v>
      </c>
      <c r="B272" s="3">
        <v>0.32400000000000001</v>
      </c>
      <c r="C272" s="3" t="s">
        <v>13</v>
      </c>
      <c r="D272" t="s">
        <v>452</v>
      </c>
    </row>
    <row r="273" spans="1:4" x14ac:dyDescent="0.2">
      <c r="A273" s="7" t="s">
        <v>706</v>
      </c>
      <c r="B273" s="3">
        <v>-0.32800000000000001</v>
      </c>
      <c r="C273" s="3" t="s">
        <v>12</v>
      </c>
    </row>
    <row r="274" spans="1:4" x14ac:dyDescent="0.2">
      <c r="A274" s="7" t="s">
        <v>708</v>
      </c>
      <c r="B274" s="3">
        <v>0.38400000000000001</v>
      </c>
      <c r="C274" s="3" t="s">
        <v>13</v>
      </c>
    </row>
    <row r="275" spans="1:4" x14ac:dyDescent="0.2">
      <c r="A275" s="7" t="s">
        <v>709</v>
      </c>
      <c r="B275" s="3">
        <v>-0.26900000000000002</v>
      </c>
      <c r="C275" s="3" t="s">
        <v>12</v>
      </c>
    </row>
    <row r="276" spans="1:4" x14ac:dyDescent="0.2">
      <c r="A276" s="7" t="s">
        <v>710</v>
      </c>
      <c r="B276" s="3">
        <v>0.20799999999999999</v>
      </c>
      <c r="C276" s="3" t="s">
        <v>13</v>
      </c>
    </row>
    <row r="277" spans="1:4" x14ac:dyDescent="0.2">
      <c r="A277" s="7" t="s">
        <v>711</v>
      </c>
      <c r="B277" s="3">
        <v>-9.0999999999999998E-2</v>
      </c>
      <c r="C277" s="3" t="s">
        <v>12</v>
      </c>
    </row>
    <row r="278" spans="1:4" x14ac:dyDescent="0.2">
      <c r="A278" s="7" t="s">
        <v>712</v>
      </c>
      <c r="B278" s="3">
        <v>1.9E-2</v>
      </c>
      <c r="C278" s="3" t="s">
        <v>13</v>
      </c>
    </row>
    <row r="279" spans="1:4" x14ac:dyDescent="0.2">
      <c r="A279" s="7" t="s">
        <v>713</v>
      </c>
      <c r="B279" s="3">
        <v>5.8000000000000003E-2</v>
      </c>
      <c r="C279" s="3" t="s">
        <v>13</v>
      </c>
    </row>
    <row r="280" spans="1:4" x14ac:dyDescent="0.2">
      <c r="A280" s="7" t="s">
        <v>714</v>
      </c>
      <c r="B280" s="3">
        <v>-8.8999999999999996E-2</v>
      </c>
      <c r="C280" s="3" t="s">
        <v>12</v>
      </c>
    </row>
    <row r="281" spans="1:4" x14ac:dyDescent="0.2">
      <c r="A281" s="7" t="s">
        <v>715</v>
      </c>
      <c r="B281" s="3">
        <v>0.434</v>
      </c>
      <c r="C281" s="3" t="s">
        <v>13</v>
      </c>
      <c r="D281" t="s">
        <v>452</v>
      </c>
    </row>
    <row r="282" spans="1:4" x14ac:dyDescent="0.2">
      <c r="A282" s="15" t="s">
        <v>716</v>
      </c>
      <c r="B282" s="3">
        <v>-0.154</v>
      </c>
      <c r="C282" s="3" t="s">
        <v>12</v>
      </c>
    </row>
    <row r="283" spans="1:4" x14ac:dyDescent="0.2">
      <c r="A283" s="15" t="s">
        <v>717</v>
      </c>
      <c r="B283" s="3">
        <v>0.32700000000000001</v>
      </c>
      <c r="C283" s="3" t="s">
        <v>13</v>
      </c>
    </row>
    <row r="284" spans="1:4" x14ac:dyDescent="0.2">
      <c r="A284" s="15" t="s">
        <v>718</v>
      </c>
      <c r="B284" s="3">
        <v>1.7999999999999999E-2</v>
      </c>
      <c r="C284" s="3" t="s">
        <v>13</v>
      </c>
    </row>
    <row r="285" spans="1:4" x14ac:dyDescent="0.2">
      <c r="A285" s="15" t="s">
        <v>719</v>
      </c>
      <c r="B285" s="4">
        <v>0.39</v>
      </c>
      <c r="C285" s="3" t="s">
        <v>13</v>
      </c>
    </row>
    <row r="286" spans="1:4" x14ac:dyDescent="0.2">
      <c r="A286" s="15" t="s">
        <v>720</v>
      </c>
      <c r="B286" s="3">
        <v>-0.21299999999999999</v>
      </c>
      <c r="C286" s="3" t="s">
        <v>12</v>
      </c>
    </row>
    <row r="287" spans="1:4" x14ac:dyDescent="0.2">
      <c r="A287" s="15" t="s">
        <v>606</v>
      </c>
      <c r="B287" s="3">
        <v>-0.154</v>
      </c>
      <c r="C287" s="3" t="s">
        <v>12</v>
      </c>
    </row>
    <row r="288" spans="1:4" x14ac:dyDescent="0.2">
      <c r="A288" s="15" t="s">
        <v>722</v>
      </c>
      <c r="B288" s="3">
        <v>0.13100000000000001</v>
      </c>
      <c r="C288" s="3" t="s">
        <v>13</v>
      </c>
    </row>
    <row r="289" spans="1:4" x14ac:dyDescent="0.2">
      <c r="A289" s="15" t="s">
        <v>723</v>
      </c>
      <c r="B289" s="3">
        <v>-3.6999999999999998E-2</v>
      </c>
      <c r="C289" s="3" t="s">
        <v>12</v>
      </c>
    </row>
    <row r="290" spans="1:4" x14ac:dyDescent="0.2">
      <c r="A290" s="15" t="s">
        <v>724</v>
      </c>
      <c r="B290" s="3">
        <v>0.23400000000000001</v>
      </c>
      <c r="C290" s="3" t="s">
        <v>13</v>
      </c>
    </row>
    <row r="291" spans="1:4" x14ac:dyDescent="0.2">
      <c r="A291" s="15" t="s">
        <v>725</v>
      </c>
      <c r="B291" s="3">
        <v>0.13300000000000001</v>
      </c>
      <c r="C291" s="3" t="s">
        <v>13</v>
      </c>
    </row>
    <row r="292" spans="1:4" x14ac:dyDescent="0.2">
      <c r="A292" s="15" t="s">
        <v>726</v>
      </c>
      <c r="B292" s="3">
        <v>-0.21099999999999999</v>
      </c>
      <c r="C292" s="3" t="s">
        <v>12</v>
      </c>
    </row>
    <row r="293" spans="1:4" x14ac:dyDescent="0.2">
      <c r="A293" s="15" t="s">
        <v>727</v>
      </c>
      <c r="B293" s="3">
        <v>9.6000000000000002E-2</v>
      </c>
      <c r="C293" s="3" t="s">
        <v>13</v>
      </c>
    </row>
    <row r="294" spans="1:4" x14ac:dyDescent="0.2">
      <c r="A294" s="15" t="s">
        <v>728</v>
      </c>
      <c r="B294" s="3">
        <v>0.20799999999999999</v>
      </c>
      <c r="C294" s="3" t="s">
        <v>13</v>
      </c>
    </row>
    <row r="295" spans="1:4" x14ac:dyDescent="0.2">
      <c r="A295" s="15" t="s">
        <v>729</v>
      </c>
      <c r="B295" s="3">
        <v>0.34200000000000003</v>
      </c>
      <c r="C295" s="3" t="s">
        <v>13</v>
      </c>
    </row>
    <row r="296" spans="1:4" x14ac:dyDescent="0.2">
      <c r="A296" s="15" t="s">
        <v>730</v>
      </c>
      <c r="B296" s="3">
        <v>-0.52800000000000002</v>
      </c>
      <c r="C296" s="3" t="s">
        <v>12</v>
      </c>
      <c r="D296" t="s">
        <v>452</v>
      </c>
    </row>
    <row r="297" spans="1:4" x14ac:dyDescent="0.2">
      <c r="A297" s="15" t="s">
        <v>731</v>
      </c>
      <c r="B297" s="3">
        <v>0.32800000000000001</v>
      </c>
      <c r="C297" s="3" t="s">
        <v>13</v>
      </c>
    </row>
    <row r="298" spans="1:4" x14ac:dyDescent="0.2">
      <c r="A298" s="15" t="s">
        <v>732</v>
      </c>
      <c r="B298" s="3">
        <v>0.16800000000000001</v>
      </c>
      <c r="C298" s="3" t="s">
        <v>13</v>
      </c>
    </row>
    <row r="299" spans="1:4" x14ac:dyDescent="0.2">
      <c r="A299" s="15" t="s">
        <v>733</v>
      </c>
      <c r="B299" s="3">
        <v>0.48299999999999998</v>
      </c>
      <c r="C299" s="3" t="s">
        <v>13</v>
      </c>
    </row>
    <row r="300" spans="1:4" x14ac:dyDescent="0.2">
      <c r="A300" s="15" t="s">
        <v>734</v>
      </c>
      <c r="B300" s="3">
        <v>-7.8E-2</v>
      </c>
      <c r="C300" s="3" t="s">
        <v>12</v>
      </c>
    </row>
    <row r="301" spans="1:4" x14ac:dyDescent="0.2">
      <c r="A301" s="15" t="s">
        <v>735</v>
      </c>
      <c r="B301" s="3">
        <v>0.13500000000000001</v>
      </c>
      <c r="C301" s="3" t="s">
        <v>13</v>
      </c>
    </row>
    <row r="302" spans="1:4" x14ac:dyDescent="0.2">
      <c r="A302" s="15" t="s">
        <v>736</v>
      </c>
      <c r="B302" s="3">
        <v>0.221</v>
      </c>
      <c r="C302" s="3" t="s">
        <v>13</v>
      </c>
    </row>
    <row r="303" spans="1:4" x14ac:dyDescent="0.2">
      <c r="A303" s="15" t="s">
        <v>737</v>
      </c>
      <c r="B303" s="4">
        <v>-0.39</v>
      </c>
      <c r="C303" s="3" t="s">
        <v>12</v>
      </c>
    </row>
    <row r="304" spans="1:4" x14ac:dyDescent="0.2">
      <c r="A304" s="15" t="s">
        <v>738</v>
      </c>
      <c r="B304" s="3">
        <v>-0.28299999999999997</v>
      </c>
      <c r="C304" s="3" t="s">
        <v>12</v>
      </c>
    </row>
    <row r="305" spans="1:4" x14ac:dyDescent="0.2">
      <c r="A305" s="15" t="s">
        <v>740</v>
      </c>
      <c r="B305" s="3">
        <v>9.4E-2</v>
      </c>
      <c r="C305" s="3" t="s">
        <v>13</v>
      </c>
    </row>
    <row r="306" spans="1:4" x14ac:dyDescent="0.2">
      <c r="A306" s="15" t="s">
        <v>741</v>
      </c>
      <c r="B306" s="3">
        <v>-0.35199999999999998</v>
      </c>
      <c r="C306" s="3" t="s">
        <v>12</v>
      </c>
    </row>
    <row r="307" spans="1:4" x14ac:dyDescent="0.2">
      <c r="A307" s="15" t="s">
        <v>742</v>
      </c>
      <c r="B307" s="4">
        <v>-0.46</v>
      </c>
      <c r="C307" s="3" t="s">
        <v>12</v>
      </c>
    </row>
    <row r="308" spans="1:4" x14ac:dyDescent="0.2">
      <c r="A308" s="15" t="s">
        <v>743</v>
      </c>
      <c r="B308" s="3">
        <v>-0.29399999999999998</v>
      </c>
      <c r="C308" s="3" t="s">
        <v>12</v>
      </c>
    </row>
    <row r="309" spans="1:4" x14ac:dyDescent="0.2">
      <c r="A309" s="15" t="s">
        <v>744</v>
      </c>
      <c r="B309" s="4">
        <v>0.28000000000000003</v>
      </c>
      <c r="C309" s="3" t="s">
        <v>13</v>
      </c>
    </row>
    <row r="310" spans="1:4" x14ac:dyDescent="0.2">
      <c r="A310" s="15" t="s">
        <v>745</v>
      </c>
      <c r="B310" s="3">
        <v>0.41399999999999998</v>
      </c>
      <c r="C310" s="3" t="s">
        <v>13</v>
      </c>
    </row>
    <row r="311" spans="1:4" x14ac:dyDescent="0.2">
      <c r="A311" s="15" t="s">
        <v>614</v>
      </c>
      <c r="B311" s="3">
        <v>-6.8000000000000005E-2</v>
      </c>
      <c r="C311" s="3" t="s">
        <v>12</v>
      </c>
    </row>
    <row r="312" spans="1:4" x14ac:dyDescent="0.2">
      <c r="A312" s="15" t="s">
        <v>680</v>
      </c>
      <c r="B312" s="4">
        <v>0.22</v>
      </c>
      <c r="C312" s="3" t="s">
        <v>13</v>
      </c>
    </row>
    <row r="313" spans="1:4" x14ac:dyDescent="0.2">
      <c r="A313" s="15" t="s">
        <v>747</v>
      </c>
      <c r="B313" s="17" t="s">
        <v>610</v>
      </c>
      <c r="C313" s="17"/>
      <c r="D313" t="s">
        <v>452</v>
      </c>
    </row>
    <row r="314" spans="1:4" x14ac:dyDescent="0.2">
      <c r="A314" s="15" t="s">
        <v>748</v>
      </c>
      <c r="B314" s="4">
        <v>-0.17499999999999999</v>
      </c>
      <c r="C314" s="3" t="s">
        <v>12</v>
      </c>
    </row>
    <row r="315" spans="1:4" x14ac:dyDescent="0.2">
      <c r="A315" s="15" t="s">
        <v>749</v>
      </c>
      <c r="B315" s="4">
        <v>-0.30399999999999999</v>
      </c>
      <c r="C315" s="3" t="s">
        <v>12</v>
      </c>
      <c r="D315" t="s">
        <v>452</v>
      </c>
    </row>
    <row r="316" spans="1:4" x14ac:dyDescent="0.2">
      <c r="A316" s="15" t="s">
        <v>750</v>
      </c>
      <c r="B316" s="4">
        <v>-1</v>
      </c>
      <c r="C316" s="3" t="s">
        <v>12</v>
      </c>
    </row>
    <row r="317" spans="1:4" x14ac:dyDescent="0.2">
      <c r="A317" s="15" t="s">
        <v>751</v>
      </c>
      <c r="B317" s="4">
        <v>3.6999999999999998E-2</v>
      </c>
      <c r="C317" s="3" t="s">
        <v>13</v>
      </c>
    </row>
    <row r="318" spans="1:4" x14ac:dyDescent="0.2">
      <c r="A318" s="15" t="s">
        <v>752</v>
      </c>
      <c r="B318" s="4">
        <v>-0.26</v>
      </c>
      <c r="C318" s="3" t="s">
        <v>12</v>
      </c>
    </row>
    <row r="319" spans="1:4" x14ac:dyDescent="0.2">
      <c r="A319" s="15" t="s">
        <v>753</v>
      </c>
      <c r="B319" s="4">
        <v>0.34799999999999998</v>
      </c>
      <c r="C319" s="3" t="s">
        <v>13</v>
      </c>
    </row>
    <row r="320" spans="1:4" x14ac:dyDescent="0.2">
      <c r="A320" s="15" t="s">
        <v>754</v>
      </c>
      <c r="B320" s="17" t="s">
        <v>610</v>
      </c>
      <c r="C320" s="17"/>
      <c r="D320" t="s">
        <v>452</v>
      </c>
    </row>
    <row r="321" spans="1:4" x14ac:dyDescent="0.2">
      <c r="A321" s="15" t="s">
        <v>761</v>
      </c>
      <c r="B321" s="4"/>
      <c r="C321" s="3"/>
      <c r="D321" t="s">
        <v>55</v>
      </c>
    </row>
    <row r="322" spans="1:4" x14ac:dyDescent="0.2">
      <c r="A322" s="15" t="s">
        <v>755</v>
      </c>
      <c r="B322" s="4">
        <v>-0.114</v>
      </c>
      <c r="C322" s="3" t="s">
        <v>12</v>
      </c>
    </row>
    <row r="323" spans="1:4" x14ac:dyDescent="0.2">
      <c r="A323" s="15" t="s">
        <v>756</v>
      </c>
      <c r="B323" s="4">
        <v>0.29199999999999998</v>
      </c>
      <c r="C323" s="3" t="s">
        <v>13</v>
      </c>
    </row>
    <row r="324" spans="1:4" x14ac:dyDescent="0.2">
      <c r="A324" s="15" t="s">
        <v>757</v>
      </c>
      <c r="B324" s="4">
        <v>7.2999999999999995E-2</v>
      </c>
      <c r="C324" s="3" t="s">
        <v>13</v>
      </c>
    </row>
    <row r="325" spans="1:4" x14ac:dyDescent="0.2">
      <c r="A325" s="15" t="s">
        <v>758</v>
      </c>
      <c r="B325" s="4">
        <v>0.28699999999999998</v>
      </c>
      <c r="C325" s="3" t="s">
        <v>13</v>
      </c>
    </row>
    <row r="326" spans="1:4" x14ac:dyDescent="0.2">
      <c r="A326" s="15" t="s">
        <v>759</v>
      </c>
      <c r="B326" s="4">
        <v>-0.219</v>
      </c>
      <c r="C326" s="3" t="s">
        <v>12</v>
      </c>
    </row>
    <row r="327" spans="1:4" x14ac:dyDescent="0.2">
      <c r="A327" s="15" t="s">
        <v>760</v>
      </c>
      <c r="B327" s="4">
        <v>-7.1999999999999995E-2</v>
      </c>
      <c r="C327" s="3" t="s">
        <v>12</v>
      </c>
    </row>
    <row r="328" spans="1:4" x14ac:dyDescent="0.2">
      <c r="A328" s="15" t="s">
        <v>762</v>
      </c>
      <c r="B328" s="4">
        <v>-0.19500000000000001</v>
      </c>
      <c r="C328" s="3" t="s">
        <v>12</v>
      </c>
    </row>
    <row r="329" spans="1:4" x14ac:dyDescent="0.2">
      <c r="A329" s="15" t="s">
        <v>763</v>
      </c>
      <c r="B329" s="4">
        <v>0.44400000000000001</v>
      </c>
      <c r="C329" s="3" t="s">
        <v>13</v>
      </c>
    </row>
    <row r="330" spans="1:4" x14ac:dyDescent="0.2">
      <c r="A330" s="15" t="s">
        <v>764</v>
      </c>
      <c r="B330" s="4">
        <v>-0.57299999999999995</v>
      </c>
      <c r="C330" s="3" t="s">
        <v>12</v>
      </c>
    </row>
    <row r="331" spans="1:4" x14ac:dyDescent="0.2">
      <c r="A331" s="15" t="s">
        <v>765</v>
      </c>
      <c r="B331" s="4">
        <v>-0.83899999999999997</v>
      </c>
      <c r="C331" s="3" t="s">
        <v>12</v>
      </c>
    </row>
    <row r="332" spans="1:4" x14ac:dyDescent="0.2">
      <c r="A332" s="15" t="s">
        <v>766</v>
      </c>
      <c r="B332" s="4">
        <v>0.41899999999999998</v>
      </c>
      <c r="C332" s="3" t="s">
        <v>13</v>
      </c>
    </row>
    <row r="333" spans="1:4" x14ac:dyDescent="0.2">
      <c r="A333" s="15" t="s">
        <v>767</v>
      </c>
      <c r="B333" s="4">
        <v>0.19500000000000001</v>
      </c>
      <c r="C333" s="3" t="s">
        <v>13</v>
      </c>
    </row>
    <row r="334" spans="1:4" x14ac:dyDescent="0.2">
      <c r="A334" s="15" t="s">
        <v>768</v>
      </c>
      <c r="B334" s="4">
        <v>-0.498</v>
      </c>
      <c r="C334" s="3" t="s">
        <v>12</v>
      </c>
    </row>
    <row r="335" spans="1:4" x14ac:dyDescent="0.2">
      <c r="A335" s="15" t="s">
        <v>769</v>
      </c>
      <c r="B335" s="4">
        <v>-0.188</v>
      </c>
      <c r="C335" s="3" t="s">
        <v>12</v>
      </c>
    </row>
    <row r="336" spans="1:4" x14ac:dyDescent="0.2">
      <c r="A336" s="15" t="s">
        <v>770</v>
      </c>
      <c r="B336" s="4">
        <v>-0.09</v>
      </c>
      <c r="C336" s="3" t="s">
        <v>12</v>
      </c>
    </row>
    <row r="337" spans="1:3" x14ac:dyDescent="0.2">
      <c r="A337" s="15" t="s">
        <v>771</v>
      </c>
      <c r="B337" s="4">
        <v>8.7999999999999995E-2</v>
      </c>
      <c r="C337" s="3" t="s">
        <v>13</v>
      </c>
    </row>
    <row r="338" spans="1:3" x14ac:dyDescent="0.2">
      <c r="A338" s="15" t="s">
        <v>772</v>
      </c>
      <c r="B338" s="4">
        <v>-0.01</v>
      </c>
      <c r="C338" s="3" t="s">
        <v>12</v>
      </c>
    </row>
    <row r="339" spans="1:3" x14ac:dyDescent="0.2">
      <c r="A339" s="15" t="s">
        <v>773</v>
      </c>
      <c r="B339" s="4">
        <v>0.13900000000000001</v>
      </c>
      <c r="C339" s="3" t="s">
        <v>13</v>
      </c>
    </row>
    <row r="340" spans="1:3" x14ac:dyDescent="0.2">
      <c r="A340" s="15" t="s">
        <v>774</v>
      </c>
      <c r="B340" s="4">
        <v>0.30399999999999999</v>
      </c>
      <c r="C340" s="3" t="s">
        <v>13</v>
      </c>
    </row>
    <row r="341" spans="1:3" x14ac:dyDescent="0.2">
      <c r="A341" s="15" t="s">
        <v>775</v>
      </c>
      <c r="B341" s="4">
        <v>-0.34100000000000003</v>
      </c>
      <c r="C341" s="3" t="s">
        <v>12</v>
      </c>
    </row>
    <row r="342" spans="1:3" x14ac:dyDescent="0.2">
      <c r="A342" s="15" t="s">
        <v>776</v>
      </c>
      <c r="B342" s="4">
        <v>0.437</v>
      </c>
      <c r="C342" s="3" t="s">
        <v>13</v>
      </c>
    </row>
    <row r="343" spans="1:3" x14ac:dyDescent="0.2">
      <c r="A343" s="15" t="s">
        <v>777</v>
      </c>
      <c r="B343" s="4">
        <v>0.26400000000000001</v>
      </c>
      <c r="C343" s="3" t="s">
        <v>13</v>
      </c>
    </row>
    <row r="344" spans="1:3" x14ac:dyDescent="0.2">
      <c r="A344" s="7" t="s">
        <v>778</v>
      </c>
      <c r="B344" s="4">
        <v>0.49</v>
      </c>
      <c r="C344" s="3" t="s">
        <v>13</v>
      </c>
    </row>
    <row r="345" spans="1:3" x14ac:dyDescent="0.2">
      <c r="A345" s="7" t="s">
        <v>779</v>
      </c>
      <c r="B345" s="3">
        <v>0.20699999999999999</v>
      </c>
      <c r="C345" s="3" t="s">
        <v>13</v>
      </c>
    </row>
    <row r="346" spans="1:3" x14ac:dyDescent="0.2">
      <c r="A346" s="7" t="s">
        <v>780</v>
      </c>
      <c r="B346" s="3">
        <v>-4.1000000000000002E-2</v>
      </c>
      <c r="C346" s="3" t="s">
        <v>12</v>
      </c>
    </row>
    <row r="347" spans="1:3" x14ac:dyDescent="0.2">
      <c r="A347" s="15" t="s">
        <v>781</v>
      </c>
      <c r="B347" s="4">
        <v>-0.51</v>
      </c>
      <c r="C347" s="3" t="s">
        <v>12</v>
      </c>
    </row>
    <row r="348" spans="1:3" x14ac:dyDescent="0.2">
      <c r="A348" s="15" t="s">
        <v>782</v>
      </c>
      <c r="B348" s="3">
        <v>0.20699999999999999</v>
      </c>
      <c r="C348" s="3" t="s">
        <v>13</v>
      </c>
    </row>
    <row r="349" spans="1:3" x14ac:dyDescent="0.2">
      <c r="A349" s="15" t="s">
        <v>783</v>
      </c>
      <c r="B349" s="3">
        <v>0.34899999999999998</v>
      </c>
      <c r="C349" s="3" t="s">
        <v>13</v>
      </c>
    </row>
    <row r="350" spans="1:3" x14ac:dyDescent="0.2">
      <c r="A350" s="15" t="s">
        <v>784</v>
      </c>
      <c r="B350" s="3">
        <v>1E-3</v>
      </c>
      <c r="C350" s="3" t="s">
        <v>13</v>
      </c>
    </row>
    <row r="351" spans="1:3" x14ac:dyDescent="0.2">
      <c r="A351" s="15" t="s">
        <v>785</v>
      </c>
      <c r="B351" s="3">
        <v>0.17199999999999999</v>
      </c>
      <c r="C351" s="3" t="s">
        <v>13</v>
      </c>
    </row>
    <row r="352" spans="1:3" x14ac:dyDescent="0.2">
      <c r="A352" s="15" t="s">
        <v>786</v>
      </c>
      <c r="B352" s="3">
        <v>-0.28699999999999998</v>
      </c>
      <c r="C352" s="3" t="s">
        <v>12</v>
      </c>
    </row>
    <row r="353" spans="1:4" x14ac:dyDescent="0.2">
      <c r="A353" s="15" t="s">
        <v>787</v>
      </c>
      <c r="B353" s="3">
        <v>0.23200000000000001</v>
      </c>
      <c r="C353" s="3" t="s">
        <v>13</v>
      </c>
    </row>
    <row r="354" spans="1:4" x14ac:dyDescent="0.2">
      <c r="A354" s="15" t="s">
        <v>788</v>
      </c>
      <c r="B354" s="3">
        <v>0.22900000000000001</v>
      </c>
      <c r="C354" s="3" t="s">
        <v>13</v>
      </c>
    </row>
    <row r="355" spans="1:4" x14ac:dyDescent="0.2">
      <c r="A355" s="15" t="s">
        <v>789</v>
      </c>
      <c r="B355" s="3">
        <v>-0.92200000000000004</v>
      </c>
      <c r="C355" s="3" t="s">
        <v>12</v>
      </c>
    </row>
    <row r="356" spans="1:4" x14ac:dyDescent="0.2">
      <c r="A356" s="15" t="s">
        <v>790</v>
      </c>
      <c r="B356" s="3">
        <v>-0.26500000000000001</v>
      </c>
      <c r="C356" s="3" t="s">
        <v>12</v>
      </c>
    </row>
    <row r="357" spans="1:4" x14ac:dyDescent="0.2">
      <c r="A357" s="21" t="s">
        <v>791</v>
      </c>
      <c r="B357" s="20">
        <v>-0.253</v>
      </c>
      <c r="C357" s="20" t="s">
        <v>12</v>
      </c>
      <c r="D357" t="s">
        <v>803</v>
      </c>
    </row>
    <row r="358" spans="1:4" x14ac:dyDescent="0.2">
      <c r="A358" s="15" t="s">
        <v>792</v>
      </c>
      <c r="B358" s="3">
        <v>0.499</v>
      </c>
      <c r="C358" s="3" t="s">
        <v>13</v>
      </c>
    </row>
    <row r="359" spans="1:4" x14ac:dyDescent="0.2">
      <c r="A359" s="15" t="s">
        <v>793</v>
      </c>
      <c r="B359" s="3">
        <v>-6.8000000000000005E-2</v>
      </c>
      <c r="C359" s="3" t="s">
        <v>12</v>
      </c>
    </row>
    <row r="360" spans="1:4" s="22" customFormat="1" x14ac:dyDescent="0.2">
      <c r="A360" s="21" t="s">
        <v>794</v>
      </c>
      <c r="B360" s="20">
        <v>-1.2E-2</v>
      </c>
      <c r="C360" s="20" t="s">
        <v>12</v>
      </c>
      <c r="D360" s="22" t="s">
        <v>803</v>
      </c>
    </row>
    <row r="361" spans="1:4" x14ac:dyDescent="0.2">
      <c r="A361" s="15" t="s">
        <v>795</v>
      </c>
      <c r="B361" s="20">
        <v>-0.308</v>
      </c>
      <c r="C361" s="20" t="s">
        <v>12</v>
      </c>
    </row>
    <row r="362" spans="1:4" x14ac:dyDescent="0.2">
      <c r="A362" s="15" t="s">
        <v>796</v>
      </c>
      <c r="B362" s="3">
        <v>1.4E-2</v>
      </c>
      <c r="C362" s="3" t="s">
        <v>13</v>
      </c>
    </row>
    <row r="363" spans="1:4" x14ac:dyDescent="0.2">
      <c r="A363" s="15" t="s">
        <v>622</v>
      </c>
      <c r="B363" s="3">
        <v>7.0000000000000001E-3</v>
      </c>
      <c r="C363" s="3" t="s">
        <v>13</v>
      </c>
    </row>
    <row r="364" spans="1:4" x14ac:dyDescent="0.2">
      <c r="A364" s="15" t="s">
        <v>797</v>
      </c>
      <c r="B364" s="3">
        <v>0.125</v>
      </c>
      <c r="C364" s="3" t="s">
        <v>13</v>
      </c>
    </row>
    <row r="365" spans="1:4" x14ac:dyDescent="0.2">
      <c r="A365" s="15" t="s">
        <v>798</v>
      </c>
      <c r="B365" s="3">
        <v>0.23300000000000001</v>
      </c>
      <c r="C365" s="3" t="s">
        <v>13</v>
      </c>
      <c r="D365" t="s">
        <v>801</v>
      </c>
    </row>
    <row r="366" spans="1:4" x14ac:dyDescent="0.2">
      <c r="A366" s="15" t="s">
        <v>799</v>
      </c>
      <c r="B366" s="3">
        <v>-0.20799999999999999</v>
      </c>
      <c r="C366" s="3" t="s">
        <v>12</v>
      </c>
    </row>
    <row r="367" spans="1:4" x14ac:dyDescent="0.2">
      <c r="A367" s="15" t="s">
        <v>800</v>
      </c>
      <c r="B367" s="3">
        <v>-9.8000000000000004E-2</v>
      </c>
      <c r="C367" s="3" t="s">
        <v>12</v>
      </c>
    </row>
    <row r="368" spans="1:4" x14ac:dyDescent="0.2">
      <c r="A368" s="7" t="s">
        <v>802</v>
      </c>
      <c r="B368" s="3">
        <v>-0.58599999999999997</v>
      </c>
      <c r="C368" s="3" t="s">
        <v>12</v>
      </c>
    </row>
    <row r="369" spans="1:3" x14ac:dyDescent="0.2">
      <c r="A369" s="15" t="s">
        <v>804</v>
      </c>
      <c r="B369" s="3">
        <v>-0.26500000000000001</v>
      </c>
      <c r="C369" s="3" t="s">
        <v>12</v>
      </c>
    </row>
    <row r="370" spans="1:3" x14ac:dyDescent="0.2">
      <c r="A370" s="15" t="s">
        <v>805</v>
      </c>
      <c r="B370" s="3">
        <v>-1.9E-2</v>
      </c>
      <c r="C370" s="3" t="s">
        <v>12</v>
      </c>
    </row>
    <row r="371" spans="1:3" x14ac:dyDescent="0.2">
      <c r="A371" s="15" t="s">
        <v>806</v>
      </c>
      <c r="B371" s="3">
        <v>0.157</v>
      </c>
      <c r="C371" s="3" t="s">
        <v>13</v>
      </c>
    </row>
    <row r="372" spans="1:3" x14ac:dyDescent="0.2">
      <c r="A372" s="15" t="s">
        <v>807</v>
      </c>
      <c r="B372" s="3">
        <v>0.48199999999999998</v>
      </c>
      <c r="C372" s="3" t="s">
        <v>13</v>
      </c>
    </row>
    <row r="373" spans="1:3" x14ac:dyDescent="0.2">
      <c r="A373" s="15" t="s">
        <v>808</v>
      </c>
      <c r="B373" s="3">
        <v>0.27500000000000002</v>
      </c>
      <c r="C373" s="3" t="s">
        <v>13</v>
      </c>
    </row>
    <row r="374" spans="1:3" x14ac:dyDescent="0.2">
      <c r="A374" s="15" t="s">
        <v>809</v>
      </c>
      <c r="B374" s="3">
        <v>-0.108</v>
      </c>
      <c r="C374" s="3" t="s">
        <v>12</v>
      </c>
    </row>
    <row r="375" spans="1:3" x14ac:dyDescent="0.2">
      <c r="A375" s="15" t="s">
        <v>810</v>
      </c>
      <c r="B375" s="3">
        <v>-0.26200000000000001</v>
      </c>
      <c r="C375" s="3" t="s">
        <v>12</v>
      </c>
    </row>
    <row r="376" spans="1:3" x14ac:dyDescent="0.2">
      <c r="A376" s="15" t="s">
        <v>811</v>
      </c>
      <c r="B376" s="3">
        <v>-0.63100000000000001</v>
      </c>
      <c r="C376" s="3" t="s">
        <v>12</v>
      </c>
    </row>
    <row r="377" spans="1:3" x14ac:dyDescent="0.2">
      <c r="A377" s="15" t="s">
        <v>812</v>
      </c>
      <c r="B377" s="3">
        <v>0.222</v>
      </c>
      <c r="C377" s="3" t="s">
        <v>13</v>
      </c>
    </row>
    <row r="378" spans="1:3" x14ac:dyDescent="0.2">
      <c r="A378" s="15" t="s">
        <v>813</v>
      </c>
      <c r="B378" s="3">
        <v>0.36599999999999999</v>
      </c>
      <c r="C378" s="3" t="s">
        <v>13</v>
      </c>
    </row>
    <row r="379" spans="1:3" x14ac:dyDescent="0.2">
      <c r="A379" s="15" t="s">
        <v>814</v>
      </c>
      <c r="B379" s="3">
        <v>0.502</v>
      </c>
      <c r="C379" s="3" t="s">
        <v>13</v>
      </c>
    </row>
    <row r="380" spans="1:3" x14ac:dyDescent="0.2">
      <c r="A380" s="15" t="s">
        <v>815</v>
      </c>
      <c r="B380" s="3">
        <v>-0.184</v>
      </c>
      <c r="C380" s="3" t="s">
        <v>12</v>
      </c>
    </row>
    <row r="381" spans="1:3" x14ac:dyDescent="0.2">
      <c r="A381" s="15" t="s">
        <v>816</v>
      </c>
      <c r="B381" s="3">
        <v>0.13200000000000001</v>
      </c>
      <c r="C381" s="3" t="s">
        <v>13</v>
      </c>
    </row>
    <row r="382" spans="1:3" x14ac:dyDescent="0.2">
      <c r="A382" s="15" t="s">
        <v>817</v>
      </c>
      <c r="B382" s="3">
        <v>7.6999999999999999E-2</v>
      </c>
      <c r="C382" s="3" t="s">
        <v>13</v>
      </c>
    </row>
    <row r="383" spans="1:3" x14ac:dyDescent="0.2">
      <c r="A383" s="15" t="s">
        <v>818</v>
      </c>
      <c r="B383" s="3">
        <v>-7.3999999999999996E-2</v>
      </c>
      <c r="C383" s="3" t="s">
        <v>12</v>
      </c>
    </row>
    <row r="384" spans="1:3" x14ac:dyDescent="0.2">
      <c r="A384" s="15" t="s">
        <v>704</v>
      </c>
      <c r="B384" s="3">
        <v>-0.65200000000000002</v>
      </c>
      <c r="C384" s="3" t="s">
        <v>12</v>
      </c>
    </row>
    <row r="385" spans="1:4" x14ac:dyDescent="0.2">
      <c r="A385" s="7" t="s">
        <v>819</v>
      </c>
      <c r="B385" s="3">
        <v>0.53400000000000003</v>
      </c>
      <c r="C385" s="3" t="s">
        <v>13</v>
      </c>
    </row>
    <row r="386" spans="1:4" x14ac:dyDescent="0.2">
      <c r="A386" s="7" t="s">
        <v>820</v>
      </c>
      <c r="B386" s="3">
        <v>0.20799999999999999</v>
      </c>
      <c r="C386" s="3" t="s">
        <v>13</v>
      </c>
    </row>
    <row r="387" spans="1:4" x14ac:dyDescent="0.2">
      <c r="A387" s="7" t="s">
        <v>821</v>
      </c>
      <c r="B387" s="3">
        <v>0.152</v>
      </c>
      <c r="C387" s="3" t="s">
        <v>13</v>
      </c>
    </row>
    <row r="388" spans="1:4" x14ac:dyDescent="0.2">
      <c r="A388" s="7" t="s">
        <v>822</v>
      </c>
      <c r="B388" s="3">
        <v>-0.51200000000000001</v>
      </c>
      <c r="C388" s="3" t="s">
        <v>12</v>
      </c>
    </row>
    <row r="389" spans="1:4" x14ac:dyDescent="0.2">
      <c r="A389" s="7" t="s">
        <v>823</v>
      </c>
      <c r="B389" s="3">
        <v>0.372</v>
      </c>
      <c r="C389" s="3" t="s">
        <v>13</v>
      </c>
    </row>
    <row r="390" spans="1:4" x14ac:dyDescent="0.2">
      <c r="A390" s="7" t="s">
        <v>824</v>
      </c>
      <c r="B390" s="3">
        <v>7.2999999999999995E-2</v>
      </c>
      <c r="C390" s="3" t="s">
        <v>13</v>
      </c>
    </row>
    <row r="391" spans="1:4" x14ac:dyDescent="0.2">
      <c r="A391" s="7" t="s">
        <v>825</v>
      </c>
      <c r="B391" s="3">
        <v>-0.33100000000000002</v>
      </c>
      <c r="C391" s="3" t="s">
        <v>12</v>
      </c>
    </row>
    <row r="392" spans="1:4" x14ac:dyDescent="0.2">
      <c r="A392" s="7" t="s">
        <v>826</v>
      </c>
      <c r="B392" s="3">
        <v>0.11700000000000001</v>
      </c>
      <c r="C392" s="3" t="s">
        <v>13</v>
      </c>
    </row>
    <row r="393" spans="1:4" x14ac:dyDescent="0.2">
      <c r="A393" s="7" t="s">
        <v>827</v>
      </c>
      <c r="B393" s="3">
        <v>-0.43099999999999999</v>
      </c>
      <c r="C393" s="3" t="s">
        <v>12</v>
      </c>
    </row>
    <row r="394" spans="1:4" x14ac:dyDescent="0.2">
      <c r="A394" s="7" t="s">
        <v>828</v>
      </c>
      <c r="B394" s="3">
        <v>0.29399999999999998</v>
      </c>
      <c r="C394" s="3" t="s">
        <v>13</v>
      </c>
    </row>
    <row r="395" spans="1:4" x14ac:dyDescent="0.2">
      <c r="A395" s="7" t="s">
        <v>829</v>
      </c>
      <c r="B395" s="3">
        <v>-0.379</v>
      </c>
      <c r="C395" s="3" t="s">
        <v>12</v>
      </c>
    </row>
    <row r="396" spans="1:4" x14ac:dyDescent="0.2">
      <c r="A396" s="7" t="s">
        <v>830</v>
      </c>
      <c r="B396" s="3">
        <v>0.307</v>
      </c>
      <c r="C396" s="3" t="s">
        <v>13</v>
      </c>
    </row>
    <row r="397" spans="1:4" x14ac:dyDescent="0.2">
      <c r="A397" s="7" t="s">
        <v>831</v>
      </c>
      <c r="B397" s="5"/>
      <c r="C397" s="5"/>
    </row>
    <row r="398" spans="1:4" x14ac:dyDescent="0.2">
      <c r="A398" s="7" t="s">
        <v>831</v>
      </c>
      <c r="B398" s="3">
        <v>0.434</v>
      </c>
      <c r="C398" s="3" t="s">
        <v>13</v>
      </c>
      <c r="D398" s="14" t="s">
        <v>849</v>
      </c>
    </row>
    <row r="399" spans="1:4" x14ac:dyDescent="0.2">
      <c r="A399" s="15" t="s">
        <v>832</v>
      </c>
      <c r="B399" s="3">
        <v>4.9000000000000002E-2</v>
      </c>
      <c r="C399" s="3" t="s">
        <v>13</v>
      </c>
      <c r="D399" t="s">
        <v>384</v>
      </c>
    </row>
    <row r="400" spans="1:4" x14ac:dyDescent="0.2">
      <c r="A400" s="15" t="s">
        <v>833</v>
      </c>
      <c r="B400" s="5"/>
      <c r="C400" s="23" t="s">
        <v>69</v>
      </c>
    </row>
    <row r="401" spans="1:4" x14ac:dyDescent="0.2">
      <c r="A401" s="15" t="s">
        <v>834</v>
      </c>
      <c r="B401" s="3">
        <v>-0.11799999999999999</v>
      </c>
      <c r="C401" s="3" t="s">
        <v>12</v>
      </c>
      <c r="D401" t="s">
        <v>850</v>
      </c>
    </row>
    <row r="402" spans="1:4" x14ac:dyDescent="0.2">
      <c r="A402" s="15" t="s">
        <v>835</v>
      </c>
      <c r="B402" s="3">
        <v>-0.25700000000000001</v>
      </c>
      <c r="C402" s="3" t="s">
        <v>12</v>
      </c>
      <c r="D402" t="s">
        <v>850</v>
      </c>
    </row>
    <row r="403" spans="1:4" x14ac:dyDescent="0.2">
      <c r="A403" s="15" t="s">
        <v>836</v>
      </c>
      <c r="B403" s="5"/>
      <c r="C403" s="23" t="s">
        <v>69</v>
      </c>
    </row>
    <row r="404" spans="1:4" x14ac:dyDescent="0.2">
      <c r="A404" s="15" t="s">
        <v>837</v>
      </c>
      <c r="B404" s="3">
        <v>0.218</v>
      </c>
      <c r="C404" s="3" t="s">
        <v>13</v>
      </c>
    </row>
    <row r="405" spans="1:4" x14ac:dyDescent="0.2">
      <c r="A405" s="15" t="s">
        <v>838</v>
      </c>
      <c r="B405" s="3">
        <v>0.46800000000000003</v>
      </c>
      <c r="C405" s="3" t="s">
        <v>13</v>
      </c>
    </row>
    <row r="406" spans="1:4" x14ac:dyDescent="0.2">
      <c r="A406" s="15" t="s">
        <v>839</v>
      </c>
      <c r="B406" s="3">
        <v>-0.52300000000000002</v>
      </c>
      <c r="C406" s="3" t="s">
        <v>12</v>
      </c>
      <c r="D406" t="s">
        <v>850</v>
      </c>
    </row>
    <row r="407" spans="1:4" x14ac:dyDescent="0.2">
      <c r="A407" s="15" t="s">
        <v>840</v>
      </c>
      <c r="B407" s="3">
        <v>-0.105</v>
      </c>
      <c r="C407" s="3" t="s">
        <v>12</v>
      </c>
      <c r="D407" s="14" t="s">
        <v>851</v>
      </c>
    </row>
    <row r="408" spans="1:4" x14ac:dyDescent="0.2">
      <c r="A408" s="15" t="s">
        <v>841</v>
      </c>
      <c r="B408" s="3">
        <v>0.42099999999999999</v>
      </c>
      <c r="C408" s="3" t="s">
        <v>13</v>
      </c>
    </row>
    <row r="409" spans="1:4" x14ac:dyDescent="0.2">
      <c r="A409" s="15" t="s">
        <v>842</v>
      </c>
      <c r="B409" s="3">
        <v>9.2999999999999999E-2</v>
      </c>
      <c r="C409" s="3" t="s">
        <v>13</v>
      </c>
    </row>
    <row r="410" spans="1:4" x14ac:dyDescent="0.2">
      <c r="A410" s="15" t="s">
        <v>843</v>
      </c>
      <c r="B410" s="3">
        <v>0.251</v>
      </c>
      <c r="C410" s="3" t="s">
        <v>13</v>
      </c>
    </row>
    <row r="411" spans="1:4" x14ac:dyDescent="0.2">
      <c r="A411" s="15" t="s">
        <v>844</v>
      </c>
      <c r="B411" s="3">
        <v>-0.441</v>
      </c>
      <c r="C411" s="3" t="s">
        <v>12</v>
      </c>
    </row>
    <row r="412" spans="1:4" x14ac:dyDescent="0.2">
      <c r="A412" s="15" t="s">
        <v>845</v>
      </c>
      <c r="B412" s="3">
        <v>0.14599999999999999</v>
      </c>
      <c r="C412" s="3" t="s">
        <v>13</v>
      </c>
    </row>
    <row r="413" spans="1:4" x14ac:dyDescent="0.2">
      <c r="A413" s="15" t="s">
        <v>846</v>
      </c>
      <c r="B413" s="3">
        <v>-0.32600000000000001</v>
      </c>
      <c r="C413" s="3" t="s">
        <v>12</v>
      </c>
      <c r="D413" t="s">
        <v>870</v>
      </c>
    </row>
    <row r="414" spans="1:4" x14ac:dyDescent="0.2">
      <c r="A414" s="15" t="s">
        <v>847</v>
      </c>
      <c r="B414" s="3">
        <v>-4.7E-2</v>
      </c>
      <c r="C414" s="3" t="s">
        <v>12</v>
      </c>
      <c r="D414" t="s">
        <v>852</v>
      </c>
    </row>
    <row r="415" spans="1:4" x14ac:dyDescent="0.2">
      <c r="A415" s="15" t="s">
        <v>848</v>
      </c>
      <c r="B415" s="5"/>
      <c r="C415" s="5"/>
      <c r="D415" t="s">
        <v>853</v>
      </c>
    </row>
    <row r="416" spans="1:4" x14ac:dyDescent="0.2">
      <c r="A416" s="15" t="s">
        <v>848</v>
      </c>
      <c r="B416" s="3">
        <v>0.14199999999999999</v>
      </c>
      <c r="C416" s="3" t="s">
        <v>13</v>
      </c>
    </row>
    <row r="417" spans="1:4" x14ac:dyDescent="0.2">
      <c r="A417" s="7" t="s">
        <v>854</v>
      </c>
      <c r="B417" s="3">
        <v>-0.26700000000000002</v>
      </c>
      <c r="C417" s="3" t="s">
        <v>12</v>
      </c>
    </row>
    <row r="418" spans="1:4" x14ac:dyDescent="0.2">
      <c r="A418" s="7" t="s">
        <v>855</v>
      </c>
      <c r="B418" s="3">
        <v>0.45900000000000002</v>
      </c>
      <c r="C418" s="3" t="s">
        <v>13</v>
      </c>
    </row>
    <row r="419" spans="1:4" x14ac:dyDescent="0.2">
      <c r="A419" s="7" t="s">
        <v>856</v>
      </c>
      <c r="B419" s="3" t="s">
        <v>610</v>
      </c>
      <c r="C419" s="3"/>
      <c r="D419" t="s">
        <v>869</v>
      </c>
    </row>
    <row r="420" spans="1:4" x14ac:dyDescent="0.2">
      <c r="A420" s="7" t="s">
        <v>857</v>
      </c>
      <c r="B420" s="3">
        <v>0.23100000000000001</v>
      </c>
      <c r="C420" s="3" t="s">
        <v>13</v>
      </c>
    </row>
    <row r="421" spans="1:4" x14ac:dyDescent="0.2">
      <c r="A421" s="7" t="s">
        <v>858</v>
      </c>
      <c r="B421" s="3">
        <v>0.315</v>
      </c>
      <c r="C421" s="3" t="s">
        <v>13</v>
      </c>
    </row>
    <row r="422" spans="1:4" x14ac:dyDescent="0.2">
      <c r="A422" s="7" t="s">
        <v>859</v>
      </c>
      <c r="B422" s="3">
        <v>-0.154</v>
      </c>
      <c r="C422" s="3" t="s">
        <v>12</v>
      </c>
    </row>
    <row r="423" spans="1:4" x14ac:dyDescent="0.2">
      <c r="A423" s="7" t="s">
        <v>860</v>
      </c>
      <c r="B423" s="3">
        <v>0.26200000000000001</v>
      </c>
      <c r="C423" s="3" t="s">
        <v>13</v>
      </c>
    </row>
    <row r="424" spans="1:4" x14ac:dyDescent="0.2">
      <c r="A424" s="7" t="s">
        <v>861</v>
      </c>
      <c r="B424" s="3">
        <v>-0.19700000000000001</v>
      </c>
      <c r="C424" s="3" t="s">
        <v>12</v>
      </c>
    </row>
    <row r="425" spans="1:4" x14ac:dyDescent="0.2">
      <c r="A425" s="7" t="s">
        <v>862</v>
      </c>
      <c r="B425" s="5"/>
      <c r="C425" s="5"/>
    </row>
    <row r="426" spans="1:4" x14ac:dyDescent="0.2">
      <c r="A426" s="7" t="s">
        <v>862</v>
      </c>
      <c r="B426" s="3">
        <v>0.10199999999999999</v>
      </c>
      <c r="C426" s="3" t="s">
        <v>13</v>
      </c>
    </row>
    <row r="427" spans="1:4" x14ac:dyDescent="0.2">
      <c r="A427" s="7" t="s">
        <v>863</v>
      </c>
      <c r="B427" s="3">
        <v>0.14199999999999999</v>
      </c>
      <c r="C427" s="3" t="s">
        <v>13</v>
      </c>
    </row>
    <row r="428" spans="1:4" x14ac:dyDescent="0.2">
      <c r="A428" s="7" t="s">
        <v>864</v>
      </c>
      <c r="B428" s="3">
        <v>0.5</v>
      </c>
      <c r="C428" s="3" t="s">
        <v>13</v>
      </c>
    </row>
    <row r="429" spans="1:4" x14ac:dyDescent="0.2">
      <c r="A429" s="7" t="s">
        <v>865</v>
      </c>
      <c r="B429" s="3">
        <v>-0.1</v>
      </c>
      <c r="C429" s="3" t="s">
        <v>12</v>
      </c>
    </row>
    <row r="430" spans="1:4" x14ac:dyDescent="0.2">
      <c r="A430" s="7" t="s">
        <v>866</v>
      </c>
      <c r="B430" s="3">
        <v>0.24099999999999999</v>
      </c>
      <c r="C430" s="3" t="s">
        <v>13</v>
      </c>
    </row>
    <row r="431" spans="1:4" x14ac:dyDescent="0.2">
      <c r="A431" s="7" t="s">
        <v>867</v>
      </c>
      <c r="B431" s="3">
        <v>3.3000000000000002E-2</v>
      </c>
      <c r="C431" s="3" t="s">
        <v>13</v>
      </c>
    </row>
    <row r="432" spans="1:4" x14ac:dyDescent="0.2">
      <c r="A432" s="7" t="s">
        <v>868</v>
      </c>
      <c r="B432" s="3">
        <v>-0.35</v>
      </c>
      <c r="C432" s="3" t="s">
        <v>12</v>
      </c>
    </row>
    <row r="433" spans="1:3" x14ac:dyDescent="0.2">
      <c r="A433" s="7" t="s">
        <v>871</v>
      </c>
      <c r="B433" s="3">
        <v>-0.161</v>
      </c>
      <c r="C433" s="3" t="s">
        <v>12</v>
      </c>
    </row>
    <row r="434" spans="1:3" x14ac:dyDescent="0.2">
      <c r="A434" s="7" t="s">
        <v>872</v>
      </c>
      <c r="B434" s="3">
        <v>-6.0999999999999999E-2</v>
      </c>
      <c r="C434" s="3" t="s">
        <v>12</v>
      </c>
    </row>
    <row r="435" spans="1:3" x14ac:dyDescent="0.2">
      <c r="A435" s="7" t="s">
        <v>873</v>
      </c>
      <c r="B435" s="3">
        <v>-0.45700000000000002</v>
      </c>
      <c r="C435" s="3" t="s">
        <v>12</v>
      </c>
    </row>
    <row r="436" spans="1:3" x14ac:dyDescent="0.2">
      <c r="A436" s="7" t="s">
        <v>874</v>
      </c>
      <c r="B436" s="3">
        <v>0.38500000000000001</v>
      </c>
      <c r="C436" s="3" t="s">
        <v>13</v>
      </c>
    </row>
    <row r="437" spans="1:3" x14ac:dyDescent="0.2">
      <c r="A437" s="7" t="s">
        <v>875</v>
      </c>
      <c r="B437" s="3">
        <v>-0.53500000000000003</v>
      </c>
      <c r="C437" s="3" t="s">
        <v>12</v>
      </c>
    </row>
    <row r="438" spans="1:3" x14ac:dyDescent="0.2">
      <c r="A438" s="7" t="s">
        <v>876</v>
      </c>
      <c r="B438" s="3">
        <v>-0.30299999999999999</v>
      </c>
      <c r="C438" s="3" t="s">
        <v>12</v>
      </c>
    </row>
    <row r="439" spans="1:3" x14ac:dyDescent="0.2">
      <c r="A439" s="7" t="s">
        <v>746</v>
      </c>
      <c r="B439" s="3">
        <v>-0.30599999999999999</v>
      </c>
      <c r="C439" s="3" t="s">
        <v>12</v>
      </c>
    </row>
    <row r="440" spans="1:3" x14ac:dyDescent="0.2">
      <c r="A440" s="7" t="s">
        <v>877</v>
      </c>
      <c r="B440" s="3">
        <v>-0.104</v>
      </c>
      <c r="C440" s="3" t="s">
        <v>12</v>
      </c>
    </row>
    <row r="441" spans="1:3" x14ac:dyDescent="0.2">
      <c r="A441" s="7" t="s">
        <v>878</v>
      </c>
      <c r="B441" s="3">
        <v>7.5999999999999998E-2</v>
      </c>
      <c r="C441" s="3" t="s">
        <v>13</v>
      </c>
    </row>
    <row r="442" spans="1:3" x14ac:dyDescent="0.2">
      <c r="A442" s="7" t="s">
        <v>879</v>
      </c>
      <c r="B442" s="3">
        <v>-0.09</v>
      </c>
      <c r="C442" s="3" t="s">
        <v>12</v>
      </c>
    </row>
    <row r="443" spans="1:3" x14ac:dyDescent="0.2">
      <c r="A443" s="7" t="s">
        <v>880</v>
      </c>
      <c r="B443" s="3">
        <v>-6.6000000000000003E-2</v>
      </c>
      <c r="C443" s="3" t="s">
        <v>12</v>
      </c>
    </row>
    <row r="444" spans="1:3" x14ac:dyDescent="0.2">
      <c r="A444" s="7" t="s">
        <v>881</v>
      </c>
      <c r="B444" s="3">
        <v>-0.47299999999999998</v>
      </c>
      <c r="C444" s="3" t="s">
        <v>12</v>
      </c>
    </row>
    <row r="445" spans="1:3" x14ac:dyDescent="0.2">
      <c r="A445" s="7" t="s">
        <v>882</v>
      </c>
      <c r="B445" s="3">
        <v>-4.4999999999999998E-2</v>
      </c>
      <c r="C445" s="3" t="s">
        <v>12</v>
      </c>
    </row>
    <row r="446" spans="1:3" x14ac:dyDescent="0.2">
      <c r="A446" s="7" t="s">
        <v>883</v>
      </c>
      <c r="B446" s="3">
        <v>5.0999999999999997E-2</v>
      </c>
      <c r="C446" s="3" t="s">
        <v>13</v>
      </c>
    </row>
    <row r="447" spans="1:3" x14ac:dyDescent="0.2">
      <c r="A447" s="7" t="s">
        <v>884</v>
      </c>
      <c r="B447" s="3">
        <v>-0.13200000000000001</v>
      </c>
      <c r="C447" s="3" t="s">
        <v>12</v>
      </c>
    </row>
    <row r="448" spans="1:3" x14ac:dyDescent="0.2">
      <c r="A448" s="7" t="s">
        <v>885</v>
      </c>
      <c r="B448" s="3">
        <v>0.193</v>
      </c>
      <c r="C448" s="3" t="s">
        <v>13</v>
      </c>
    </row>
    <row r="449" spans="1:3" x14ac:dyDescent="0.2">
      <c r="A449" s="7" t="s">
        <v>886</v>
      </c>
      <c r="B449" s="3">
        <v>-0.38300000000000001</v>
      </c>
      <c r="C449" s="3" t="s">
        <v>12</v>
      </c>
    </row>
    <row r="450" spans="1:3" x14ac:dyDescent="0.2">
      <c r="A450" s="7" t="s">
        <v>887</v>
      </c>
      <c r="B450" s="3">
        <v>0.29699999999999999</v>
      </c>
      <c r="C450" s="3" t="s">
        <v>13</v>
      </c>
    </row>
    <row r="451" spans="1:3" x14ac:dyDescent="0.2">
      <c r="A451" s="7" t="s">
        <v>888</v>
      </c>
      <c r="B451" s="3">
        <v>0.125</v>
      </c>
      <c r="C451" s="3" t="s">
        <v>13</v>
      </c>
    </row>
    <row r="452" spans="1:3" x14ac:dyDescent="0.2">
      <c r="A452" s="7" t="s">
        <v>889</v>
      </c>
      <c r="B452" s="3">
        <v>-6.3E-2</v>
      </c>
      <c r="C452" s="3" t="s">
        <v>12</v>
      </c>
    </row>
    <row r="453" spans="1:3" x14ac:dyDescent="0.2">
      <c r="A453" s="7" t="s">
        <v>890</v>
      </c>
      <c r="B453" s="3">
        <v>-0.123</v>
      </c>
      <c r="C453" s="3" t="s">
        <v>12</v>
      </c>
    </row>
    <row r="454" spans="1:3" x14ac:dyDescent="0.2">
      <c r="A454" s="7" t="s">
        <v>707</v>
      </c>
      <c r="B454" s="3">
        <v>-0.16300000000000001</v>
      </c>
      <c r="C454" s="3" t="s">
        <v>12</v>
      </c>
    </row>
    <row r="455" spans="1:3" x14ac:dyDescent="0.2">
      <c r="A455" s="7" t="s">
        <v>891</v>
      </c>
      <c r="B455" s="3">
        <v>-0.29199999999999998</v>
      </c>
      <c r="C455" s="3" t="s">
        <v>12</v>
      </c>
    </row>
    <row r="456" spans="1:3" x14ac:dyDescent="0.2">
      <c r="A456" s="15" t="s">
        <v>893</v>
      </c>
      <c r="B456" s="3">
        <v>0.39400000000000002</v>
      </c>
      <c r="C456" s="3" t="s">
        <v>13</v>
      </c>
    </row>
    <row r="457" spans="1:3" x14ac:dyDescent="0.2">
      <c r="A457" s="15" t="s">
        <v>899</v>
      </c>
      <c r="B457" s="3">
        <v>0.151</v>
      </c>
      <c r="C457" s="3" t="s">
        <v>13</v>
      </c>
    </row>
    <row r="458" spans="1:3" x14ac:dyDescent="0.2">
      <c r="A458" s="15" t="s">
        <v>894</v>
      </c>
      <c r="B458" s="3">
        <v>2.1999999999999999E-2</v>
      </c>
      <c r="C458" s="3" t="s">
        <v>13</v>
      </c>
    </row>
    <row r="459" spans="1:3" x14ac:dyDescent="0.2">
      <c r="A459" s="15" t="s">
        <v>895</v>
      </c>
      <c r="B459" s="3">
        <v>-0.14699999999999999</v>
      </c>
      <c r="C459" s="3" t="s">
        <v>12</v>
      </c>
    </row>
    <row r="460" spans="1:3" x14ac:dyDescent="0.2">
      <c r="A460" s="15" t="s">
        <v>896</v>
      </c>
      <c r="B460" s="3">
        <v>0.114</v>
      </c>
      <c r="C460" s="3" t="s">
        <v>13</v>
      </c>
    </row>
    <row r="461" spans="1:3" x14ac:dyDescent="0.2">
      <c r="A461" s="15" t="s">
        <v>897</v>
      </c>
      <c r="B461" s="3">
        <v>-0.56299999999999994</v>
      </c>
      <c r="C461" s="3" t="s">
        <v>12</v>
      </c>
    </row>
    <row r="462" spans="1:3" x14ac:dyDescent="0.2">
      <c r="A462" s="15" t="s">
        <v>898</v>
      </c>
      <c r="B462" s="3">
        <v>-7.0999999999999994E-2</v>
      </c>
      <c r="C462" s="3" t="s">
        <v>12</v>
      </c>
    </row>
    <row r="463" spans="1:3" x14ac:dyDescent="0.2">
      <c r="A463" s="7" t="s">
        <v>900</v>
      </c>
      <c r="B463" s="3">
        <v>0.245</v>
      </c>
      <c r="C463" s="3" t="s">
        <v>13</v>
      </c>
    </row>
    <row r="464" spans="1:3" x14ac:dyDescent="0.2">
      <c r="A464" s="7" t="s">
        <v>901</v>
      </c>
      <c r="B464" s="3">
        <v>0.24299999999999999</v>
      </c>
      <c r="C464" s="3" t="s">
        <v>13</v>
      </c>
    </row>
    <row r="465" spans="1:3" x14ac:dyDescent="0.2">
      <c r="A465" s="7" t="s">
        <v>902</v>
      </c>
      <c r="B465" s="3">
        <v>0.108</v>
      </c>
      <c r="C465" s="3" t="s">
        <v>13</v>
      </c>
    </row>
    <row r="466" spans="1:3" x14ac:dyDescent="0.2">
      <c r="A466" s="7" t="s">
        <v>903</v>
      </c>
      <c r="B466" s="3" t="s">
        <v>610</v>
      </c>
      <c r="C466" s="3"/>
    </row>
    <row r="467" spans="1:3" x14ac:dyDescent="0.2">
      <c r="A467" s="7" t="s">
        <v>904</v>
      </c>
      <c r="B467" s="3">
        <v>-0.17399999999999999</v>
      </c>
      <c r="C467" s="3" t="s">
        <v>12</v>
      </c>
    </row>
    <row r="468" spans="1:3" x14ac:dyDescent="0.2">
      <c r="A468" s="7" t="s">
        <v>905</v>
      </c>
      <c r="B468" s="3">
        <v>-5.0000000000000001E-3</v>
      </c>
      <c r="C468" s="3" t="s">
        <v>12</v>
      </c>
    </row>
    <row r="469" spans="1:3" x14ac:dyDescent="0.2">
      <c r="A469" s="7" t="s">
        <v>906</v>
      </c>
      <c r="B469" s="3">
        <v>0.28399999999999997</v>
      </c>
      <c r="C469" s="3" t="s">
        <v>13</v>
      </c>
    </row>
    <row r="470" spans="1:3" x14ac:dyDescent="0.2">
      <c r="A470" s="7" t="s">
        <v>907</v>
      </c>
      <c r="B470" s="3">
        <v>7.6999999999999999E-2</v>
      </c>
      <c r="C470" s="3" t="s">
        <v>13</v>
      </c>
    </row>
    <row r="471" spans="1:3" x14ac:dyDescent="0.2">
      <c r="A471" s="7" t="s">
        <v>908</v>
      </c>
      <c r="B471" s="3">
        <v>-0.152</v>
      </c>
      <c r="C471" s="3" t="s">
        <v>12</v>
      </c>
    </row>
    <row r="472" spans="1:3" x14ac:dyDescent="0.2">
      <c r="A472" s="7" t="s">
        <v>909</v>
      </c>
      <c r="B472" s="3">
        <v>0.14899999999999999</v>
      </c>
      <c r="C472" s="3" t="s">
        <v>13</v>
      </c>
    </row>
    <row r="473" spans="1:3" x14ac:dyDescent="0.2">
      <c r="A473" s="7" t="s">
        <v>910</v>
      </c>
      <c r="B473" s="3">
        <v>-0.28399999999999997</v>
      </c>
      <c r="C473" s="3" t="s">
        <v>12</v>
      </c>
    </row>
    <row r="474" spans="1:3" x14ac:dyDescent="0.2">
      <c r="A474" s="15" t="s">
        <v>911</v>
      </c>
      <c r="B474" s="3">
        <v>9.6000000000000002E-2</v>
      </c>
      <c r="C474" s="3" t="s">
        <v>13</v>
      </c>
    </row>
    <row r="475" spans="1:3" x14ac:dyDescent="0.2">
      <c r="A475" s="15" t="s">
        <v>912</v>
      </c>
      <c r="B475" s="3">
        <v>-0.06</v>
      </c>
      <c r="C475" s="3" t="s">
        <v>12</v>
      </c>
    </row>
    <row r="476" spans="1:3" x14ac:dyDescent="0.2">
      <c r="A476" s="15" t="s">
        <v>913</v>
      </c>
      <c r="B476" s="3">
        <v>0.2</v>
      </c>
      <c r="C476" s="3" t="s">
        <v>13</v>
      </c>
    </row>
    <row r="477" spans="1:3" x14ac:dyDescent="0.2">
      <c r="A477" s="15" t="s">
        <v>914</v>
      </c>
      <c r="B477" s="3">
        <v>-0.245</v>
      </c>
      <c r="C477" s="3" t="s">
        <v>12</v>
      </c>
    </row>
    <row r="478" spans="1:3" x14ac:dyDescent="0.2">
      <c r="A478" s="15" t="s">
        <v>915</v>
      </c>
      <c r="B478" s="3">
        <v>-0.11</v>
      </c>
      <c r="C478" s="3" t="s">
        <v>12</v>
      </c>
    </row>
    <row r="479" spans="1:3" x14ac:dyDescent="0.2">
      <c r="A479" s="15" t="s">
        <v>916</v>
      </c>
      <c r="B479" s="3">
        <v>0.121</v>
      </c>
      <c r="C479" s="3" t="s">
        <v>13</v>
      </c>
    </row>
    <row r="480" spans="1:3" x14ac:dyDescent="0.2">
      <c r="A480" s="15" t="s">
        <v>917</v>
      </c>
      <c r="B480" s="3">
        <v>-0.19500000000000001</v>
      </c>
      <c r="C480" s="3" t="s">
        <v>12</v>
      </c>
    </row>
    <row r="481" spans="1:4" x14ac:dyDescent="0.2">
      <c r="A481" s="15" t="s">
        <v>918</v>
      </c>
      <c r="B481" s="3">
        <v>-0.24</v>
      </c>
      <c r="C481" s="3" t="s">
        <v>12</v>
      </c>
    </row>
    <row r="482" spans="1:4" x14ac:dyDescent="0.2">
      <c r="A482" s="15" t="s">
        <v>919</v>
      </c>
      <c r="B482" s="3">
        <v>-0.187</v>
      </c>
      <c r="C482" s="3" t="s">
        <v>12</v>
      </c>
    </row>
    <row r="483" spans="1:4" x14ac:dyDescent="0.2">
      <c r="A483" s="15" t="s">
        <v>920</v>
      </c>
      <c r="B483" s="3">
        <v>9.1999999999999998E-2</v>
      </c>
      <c r="C483" s="3" t="s">
        <v>13</v>
      </c>
    </row>
    <row r="484" spans="1:4" x14ac:dyDescent="0.2">
      <c r="A484" s="15" t="s">
        <v>921</v>
      </c>
      <c r="B484" s="3">
        <v>0.23499999999999999</v>
      </c>
      <c r="C484" s="3" t="s">
        <v>13</v>
      </c>
    </row>
    <row r="485" spans="1:4" x14ac:dyDescent="0.2">
      <c r="A485" s="15" t="s">
        <v>922</v>
      </c>
      <c r="B485" s="3">
        <v>-0.32600000000000001</v>
      </c>
      <c r="C485" s="3" t="s">
        <v>12</v>
      </c>
    </row>
    <row r="486" spans="1:4" x14ac:dyDescent="0.2">
      <c r="A486" s="15" t="s">
        <v>923</v>
      </c>
      <c r="B486" s="3">
        <v>-0.18</v>
      </c>
      <c r="C486" s="3" t="s">
        <v>12</v>
      </c>
    </row>
    <row r="487" spans="1:4" x14ac:dyDescent="0.2">
      <c r="A487" s="15" t="s">
        <v>924</v>
      </c>
      <c r="B487" s="3">
        <v>-2.9000000000000001E-2</v>
      </c>
      <c r="C487" s="3" t="s">
        <v>12</v>
      </c>
    </row>
    <row r="488" spans="1:4" x14ac:dyDescent="0.2">
      <c r="A488" s="15" t="s">
        <v>925</v>
      </c>
      <c r="B488" s="3">
        <v>0.36199999999999999</v>
      </c>
      <c r="C488" s="3" t="s">
        <v>13</v>
      </c>
    </row>
    <row r="489" spans="1:4" x14ac:dyDescent="0.2">
      <c r="A489" s="15" t="s">
        <v>926</v>
      </c>
      <c r="B489" s="3">
        <v>-0.39700000000000002</v>
      </c>
      <c r="C489" s="3" t="s">
        <v>12</v>
      </c>
    </row>
    <row r="490" spans="1:4" x14ac:dyDescent="0.2">
      <c r="A490" s="15" t="s">
        <v>927</v>
      </c>
      <c r="B490" s="3">
        <v>0.33700000000000002</v>
      </c>
      <c r="C490" s="3" t="s">
        <v>13</v>
      </c>
    </row>
    <row r="491" spans="1:4" x14ac:dyDescent="0.2">
      <c r="A491" s="15" t="s">
        <v>928</v>
      </c>
      <c r="B491" s="3">
        <v>0.64200000000000002</v>
      </c>
      <c r="C491" s="3" t="s">
        <v>13</v>
      </c>
    </row>
    <row r="492" spans="1:4" x14ac:dyDescent="0.2">
      <c r="A492" s="7" t="s">
        <v>929</v>
      </c>
      <c r="B492" s="3">
        <v>0.17100000000000001</v>
      </c>
      <c r="C492" s="3" t="s">
        <v>13</v>
      </c>
    </row>
    <row r="493" spans="1:4" x14ac:dyDescent="0.2">
      <c r="A493" s="7" t="s">
        <v>930</v>
      </c>
      <c r="B493" s="16">
        <v>8.9999999999999993E-3</v>
      </c>
      <c r="C493" s="3" t="s">
        <v>13</v>
      </c>
      <c r="D493" t="s">
        <v>961</v>
      </c>
    </row>
    <row r="494" spans="1:4" x14ac:dyDescent="0.2">
      <c r="A494" s="15" t="s">
        <v>931</v>
      </c>
      <c r="B494" s="3">
        <v>-0.06</v>
      </c>
      <c r="C494" s="3" t="s">
        <v>12</v>
      </c>
    </row>
    <row r="495" spans="1:4" x14ac:dyDescent="0.2">
      <c r="A495" s="15" t="s">
        <v>932</v>
      </c>
      <c r="B495" s="3">
        <v>0.20399999999999999</v>
      </c>
      <c r="C495" s="3" t="s">
        <v>13</v>
      </c>
    </row>
    <row r="496" spans="1:4" x14ac:dyDescent="0.2">
      <c r="A496" s="15" t="s">
        <v>933</v>
      </c>
      <c r="B496" s="3">
        <v>0.14499999999999999</v>
      </c>
      <c r="C496" s="3" t="s">
        <v>13</v>
      </c>
    </row>
    <row r="497" spans="1:4" x14ac:dyDescent="0.2">
      <c r="A497" s="15" t="s">
        <v>934</v>
      </c>
      <c r="B497" s="3">
        <v>-0.316</v>
      </c>
      <c r="C497" s="3" t="s">
        <v>12</v>
      </c>
    </row>
    <row r="498" spans="1:4" x14ac:dyDescent="0.2">
      <c r="A498" s="15" t="s">
        <v>935</v>
      </c>
      <c r="B498" s="3">
        <v>-0.29099999999999998</v>
      </c>
      <c r="C498" s="3" t="s">
        <v>12</v>
      </c>
    </row>
    <row r="499" spans="1:4" x14ac:dyDescent="0.2">
      <c r="A499" s="15" t="s">
        <v>936</v>
      </c>
      <c r="B499" s="3">
        <v>0.36299999999999999</v>
      </c>
      <c r="C499" s="3" t="s">
        <v>13</v>
      </c>
    </row>
    <row r="500" spans="1:4" x14ac:dyDescent="0.2">
      <c r="A500" s="15" t="s">
        <v>937</v>
      </c>
      <c r="B500" s="3">
        <v>-8.0000000000000002E-3</v>
      </c>
      <c r="C500" s="3" t="s">
        <v>12</v>
      </c>
    </row>
    <row r="501" spans="1:4" x14ac:dyDescent="0.2">
      <c r="A501" s="15" t="s">
        <v>938</v>
      </c>
      <c r="B501" s="3">
        <v>-0.35099999999999998</v>
      </c>
      <c r="C501" s="3" t="s">
        <v>12</v>
      </c>
    </row>
    <row r="502" spans="1:4" x14ac:dyDescent="0.2">
      <c r="A502" s="15" t="s">
        <v>939</v>
      </c>
      <c r="B502" s="3">
        <v>-2.9000000000000001E-2</v>
      </c>
      <c r="C502" s="3" t="s">
        <v>12</v>
      </c>
    </row>
    <row r="503" spans="1:4" x14ac:dyDescent="0.2">
      <c r="A503" s="15" t="s">
        <v>940</v>
      </c>
      <c r="B503" s="3">
        <v>-5.2999999999999999E-2</v>
      </c>
      <c r="C503" s="3" t="s">
        <v>12</v>
      </c>
    </row>
    <row r="504" spans="1:4" x14ac:dyDescent="0.2">
      <c r="A504" s="15" t="s">
        <v>941</v>
      </c>
      <c r="B504" s="3">
        <v>-0.437</v>
      </c>
      <c r="C504" s="3" t="s">
        <v>12</v>
      </c>
      <c r="D504" t="s">
        <v>318</v>
      </c>
    </row>
    <row r="505" spans="1:4" x14ac:dyDescent="0.2">
      <c r="A505" s="15" t="s">
        <v>942</v>
      </c>
      <c r="B505" s="3">
        <v>-6.0999999999999999E-2</v>
      </c>
      <c r="C505" s="3" t="s">
        <v>12</v>
      </c>
    </row>
    <row r="506" spans="1:4" x14ac:dyDescent="0.2">
      <c r="A506" s="15" t="s">
        <v>943</v>
      </c>
      <c r="B506" s="3">
        <v>0.219</v>
      </c>
      <c r="C506" s="3" t="s">
        <v>13</v>
      </c>
    </row>
    <row r="507" spans="1:4" x14ac:dyDescent="0.2">
      <c r="A507" s="15" t="s">
        <v>944</v>
      </c>
      <c r="B507" s="3">
        <v>-0.16600000000000001</v>
      </c>
      <c r="C507" s="3" t="s">
        <v>12</v>
      </c>
    </row>
    <row r="508" spans="1:4" x14ac:dyDescent="0.2">
      <c r="A508" s="15" t="s">
        <v>945</v>
      </c>
      <c r="B508" s="3">
        <v>0.191</v>
      </c>
      <c r="C508" s="3" t="s">
        <v>13</v>
      </c>
    </row>
    <row r="509" spans="1:4" x14ac:dyDescent="0.2">
      <c r="A509" s="7" t="s">
        <v>946</v>
      </c>
      <c r="B509" s="3">
        <v>0.55800000000000005</v>
      </c>
      <c r="C509" s="3" t="s">
        <v>13</v>
      </c>
    </row>
    <row r="510" spans="1:4" x14ac:dyDescent="0.2">
      <c r="A510" s="7" t="s">
        <v>947</v>
      </c>
      <c r="B510" s="3">
        <v>-4.9000000000000002E-2</v>
      </c>
      <c r="C510" s="3" t="s">
        <v>12</v>
      </c>
    </row>
    <row r="511" spans="1:4" x14ac:dyDescent="0.2">
      <c r="A511" s="7" t="s">
        <v>948</v>
      </c>
      <c r="B511" s="3">
        <v>-0.32500000000000001</v>
      </c>
      <c r="C511" s="3" t="s">
        <v>12</v>
      </c>
    </row>
    <row r="512" spans="1:4" x14ac:dyDescent="0.2">
      <c r="A512" s="7" t="s">
        <v>949</v>
      </c>
      <c r="B512" s="3">
        <v>9.0999999999999998E-2</v>
      </c>
      <c r="C512" s="3" t="s">
        <v>13</v>
      </c>
    </row>
    <row r="513" spans="1:3" x14ac:dyDescent="0.2">
      <c r="A513" s="7" t="s">
        <v>950</v>
      </c>
      <c r="B513" s="3">
        <v>0.30199999999999999</v>
      </c>
      <c r="C513" s="3" t="s">
        <v>13</v>
      </c>
    </row>
    <row r="514" spans="1:3" x14ac:dyDescent="0.2">
      <c r="A514" s="7" t="s">
        <v>951</v>
      </c>
      <c r="B514" s="3">
        <v>-0.121</v>
      </c>
      <c r="C514" s="3" t="s">
        <v>12</v>
      </c>
    </row>
    <row r="515" spans="1:3" x14ac:dyDescent="0.2">
      <c r="A515" s="7" t="s">
        <v>952</v>
      </c>
      <c r="B515" s="3">
        <v>0.19600000000000001</v>
      </c>
      <c r="C515" s="3" t="s">
        <v>13</v>
      </c>
    </row>
    <row r="516" spans="1:3" x14ac:dyDescent="0.2">
      <c r="A516" s="7" t="s">
        <v>953</v>
      </c>
      <c r="B516" s="3">
        <v>-0.17</v>
      </c>
      <c r="C516" s="3" t="s">
        <v>12</v>
      </c>
    </row>
    <row r="517" spans="1:3" x14ac:dyDescent="0.2">
      <c r="A517" s="7" t="s">
        <v>954</v>
      </c>
      <c r="B517" s="3">
        <v>-0.72899999999999998</v>
      </c>
      <c r="C517" s="3" t="s">
        <v>12</v>
      </c>
    </row>
    <row r="518" spans="1:3" x14ac:dyDescent="0.2">
      <c r="A518" s="7" t="s">
        <v>955</v>
      </c>
      <c r="B518" s="3">
        <v>0.21299999999999999</v>
      </c>
      <c r="C518" s="3" t="s">
        <v>13</v>
      </c>
    </row>
    <row r="519" spans="1:3" x14ac:dyDescent="0.2">
      <c r="A519" s="7" t="s">
        <v>956</v>
      </c>
      <c r="B519" s="3">
        <v>8.5000000000000006E-2</v>
      </c>
      <c r="C519" s="3" t="s">
        <v>13</v>
      </c>
    </row>
    <row r="520" spans="1:3" x14ac:dyDescent="0.2">
      <c r="A520" s="7" t="s">
        <v>957</v>
      </c>
      <c r="B520" s="3">
        <v>0.19500000000000001</v>
      </c>
      <c r="C520" s="3" t="s">
        <v>13</v>
      </c>
    </row>
    <row r="521" spans="1:3" x14ac:dyDescent="0.2">
      <c r="A521" s="7" t="s">
        <v>958</v>
      </c>
      <c r="B521" s="3">
        <v>0.13400000000000001</v>
      </c>
      <c r="C521" s="3" t="s">
        <v>13</v>
      </c>
    </row>
    <row r="522" spans="1:3" x14ac:dyDescent="0.2">
      <c r="A522" s="7" t="s">
        <v>959</v>
      </c>
      <c r="B522" s="3">
        <v>-0.34300000000000003</v>
      </c>
      <c r="C522" s="3" t="s">
        <v>12</v>
      </c>
    </row>
    <row r="523" spans="1:3" x14ac:dyDescent="0.2">
      <c r="A523" s="7" t="s">
        <v>960</v>
      </c>
      <c r="B523" s="3">
        <v>0.29499999999999998</v>
      </c>
      <c r="C523" s="3" t="s">
        <v>13</v>
      </c>
    </row>
    <row r="524" spans="1:3" x14ac:dyDescent="0.2">
      <c r="A524" s="15" t="s">
        <v>962</v>
      </c>
      <c r="B524" s="3">
        <v>0.154</v>
      </c>
      <c r="C524" s="3" t="s">
        <v>13</v>
      </c>
    </row>
    <row r="525" spans="1:3" x14ac:dyDescent="0.2">
      <c r="A525" s="15" t="s">
        <v>963</v>
      </c>
      <c r="B525" s="3">
        <v>0.186</v>
      </c>
      <c r="C525" s="3" t="s">
        <v>13</v>
      </c>
    </row>
    <row r="526" spans="1:3" x14ac:dyDescent="0.2">
      <c r="A526" s="15" t="s">
        <v>964</v>
      </c>
      <c r="B526" s="3">
        <v>9.7000000000000003E-2</v>
      </c>
      <c r="C526" s="3" t="s">
        <v>13</v>
      </c>
    </row>
    <row r="527" spans="1:3" x14ac:dyDescent="0.2">
      <c r="A527" s="15" t="s">
        <v>965</v>
      </c>
      <c r="B527" s="3">
        <v>-0.14699999999999999</v>
      </c>
      <c r="C527" s="3" t="s">
        <v>12</v>
      </c>
    </row>
    <row r="528" spans="1:3" x14ac:dyDescent="0.2">
      <c r="A528" s="15" t="s">
        <v>966</v>
      </c>
      <c r="B528" s="3">
        <v>-0.01</v>
      </c>
      <c r="C528" s="3" t="s">
        <v>12</v>
      </c>
    </row>
    <row r="529" spans="1:4" x14ac:dyDescent="0.2">
      <c r="A529" s="15" t="s">
        <v>982</v>
      </c>
      <c r="B529" s="3">
        <v>0.307</v>
      </c>
      <c r="C529" s="3" t="s">
        <v>13</v>
      </c>
    </row>
    <row r="530" spans="1:4" x14ac:dyDescent="0.2">
      <c r="A530" s="15" t="s">
        <v>967</v>
      </c>
      <c r="B530" s="3">
        <v>-0.34399999999999997</v>
      </c>
      <c r="C530" s="3" t="s">
        <v>12</v>
      </c>
    </row>
    <row r="531" spans="1:4" x14ac:dyDescent="0.2">
      <c r="A531" s="15" t="s">
        <v>968</v>
      </c>
      <c r="B531" s="3">
        <v>0.28699999999999998</v>
      </c>
      <c r="C531" s="3" t="s">
        <v>13</v>
      </c>
    </row>
    <row r="532" spans="1:4" x14ac:dyDescent="0.2">
      <c r="A532" s="15" t="s">
        <v>969</v>
      </c>
      <c r="B532" s="3">
        <v>0.159</v>
      </c>
      <c r="C532" s="3" t="s">
        <v>13</v>
      </c>
    </row>
    <row r="533" spans="1:4" x14ac:dyDescent="0.2">
      <c r="A533" s="15" t="s">
        <v>970</v>
      </c>
      <c r="B533" s="3">
        <v>0.19500000000000001</v>
      </c>
      <c r="C533" s="3" t="s">
        <v>13</v>
      </c>
    </row>
    <row r="534" spans="1:4" x14ac:dyDescent="0.2">
      <c r="A534" s="15" t="s">
        <v>971</v>
      </c>
      <c r="B534" s="3">
        <v>-0.33400000000000002</v>
      </c>
      <c r="C534" s="3" t="s">
        <v>12</v>
      </c>
    </row>
    <row r="535" spans="1:4" x14ac:dyDescent="0.2">
      <c r="A535" s="15" t="s">
        <v>972</v>
      </c>
      <c r="B535" s="3">
        <v>0.105</v>
      </c>
      <c r="C535" s="3" t="s">
        <v>13</v>
      </c>
    </row>
    <row r="536" spans="1:4" x14ac:dyDescent="0.2">
      <c r="A536" s="15" t="s">
        <v>973</v>
      </c>
      <c r="B536" s="3">
        <v>-0.752</v>
      </c>
      <c r="C536" s="3" t="s">
        <v>12</v>
      </c>
    </row>
    <row r="537" spans="1:4" x14ac:dyDescent="0.2">
      <c r="A537" s="15" t="s">
        <v>974</v>
      </c>
      <c r="B537" s="3">
        <v>8.3000000000000004E-2</v>
      </c>
      <c r="C537" s="3" t="s">
        <v>13</v>
      </c>
    </row>
    <row r="538" spans="1:4" x14ac:dyDescent="0.2">
      <c r="A538" s="15" t="s">
        <v>975</v>
      </c>
      <c r="B538" s="3">
        <v>0.44400000000000001</v>
      </c>
      <c r="C538" s="3" t="s">
        <v>13</v>
      </c>
    </row>
    <row r="539" spans="1:4" x14ac:dyDescent="0.2">
      <c r="A539" s="15" t="s">
        <v>976</v>
      </c>
      <c r="B539" s="3">
        <v>-8.7999999999999995E-2</v>
      </c>
      <c r="C539" s="3" t="s">
        <v>12</v>
      </c>
      <c r="D539" t="s">
        <v>984</v>
      </c>
    </row>
    <row r="540" spans="1:4" x14ac:dyDescent="0.2">
      <c r="A540" s="15" t="s">
        <v>977</v>
      </c>
      <c r="B540" s="3">
        <v>-2.7E-2</v>
      </c>
      <c r="C540" s="3" t="s">
        <v>12</v>
      </c>
    </row>
    <row r="541" spans="1:4" x14ac:dyDescent="0.2">
      <c r="A541" s="15" t="s">
        <v>978</v>
      </c>
      <c r="B541" s="3">
        <v>0.104</v>
      </c>
      <c r="C541" s="3" t="s">
        <v>13</v>
      </c>
    </row>
    <row r="542" spans="1:4" x14ac:dyDescent="0.2">
      <c r="A542" s="15" t="s">
        <v>979</v>
      </c>
      <c r="B542" s="3">
        <v>0.186</v>
      </c>
      <c r="C542" s="3" t="s">
        <v>13</v>
      </c>
    </row>
    <row r="543" spans="1:4" x14ac:dyDescent="0.2">
      <c r="A543" s="15" t="s">
        <v>980</v>
      </c>
      <c r="B543" s="3">
        <v>0.49</v>
      </c>
      <c r="C543" s="3" t="s">
        <v>13</v>
      </c>
    </row>
    <row r="544" spans="1:4" x14ac:dyDescent="0.2">
      <c r="A544" s="15" t="s">
        <v>981</v>
      </c>
      <c r="B544" s="3">
        <v>-4.8000000000000001E-2</v>
      </c>
      <c r="C544" s="3" t="s">
        <v>12</v>
      </c>
      <c r="D544" t="s">
        <v>318</v>
      </c>
    </row>
    <row r="545" spans="1:4" x14ac:dyDescent="0.2">
      <c r="A545" s="15" t="s">
        <v>983</v>
      </c>
      <c r="B545" s="3">
        <v>5.7000000000000002E-2</v>
      </c>
      <c r="C545" s="3" t="s">
        <v>13</v>
      </c>
    </row>
    <row r="546" spans="1:4" x14ac:dyDescent="0.2">
      <c r="A546" s="15" t="s">
        <v>985</v>
      </c>
      <c r="B546" s="3">
        <v>0.29299999999999998</v>
      </c>
      <c r="C546" s="3" t="s">
        <v>13</v>
      </c>
    </row>
    <row r="547" spans="1:4" x14ac:dyDescent="0.2">
      <c r="A547" s="15" t="s">
        <v>690</v>
      </c>
      <c r="B547" s="3">
        <v>0.107</v>
      </c>
      <c r="C547" s="3" t="s">
        <v>13</v>
      </c>
      <c r="D547" t="s">
        <v>318</v>
      </c>
    </row>
    <row r="548" spans="1:4" x14ac:dyDescent="0.2">
      <c r="A548" s="15" t="s">
        <v>986</v>
      </c>
      <c r="B548" s="3">
        <v>-0.14699999999999999</v>
      </c>
      <c r="C548" s="3" t="s">
        <v>12</v>
      </c>
    </row>
    <row r="549" spans="1:4" x14ac:dyDescent="0.2">
      <c r="A549" s="15" t="s">
        <v>987</v>
      </c>
      <c r="B549" s="3">
        <v>0.28999999999999998</v>
      </c>
      <c r="C549" s="3" t="s">
        <v>13</v>
      </c>
    </row>
    <row r="550" spans="1:4" x14ac:dyDescent="0.2">
      <c r="A550" s="15" t="s">
        <v>988</v>
      </c>
      <c r="B550" s="3">
        <v>0.376</v>
      </c>
      <c r="C550" s="3" t="s">
        <v>13</v>
      </c>
    </row>
    <row r="551" spans="1:4" x14ac:dyDescent="0.2">
      <c r="A551" s="15" t="s">
        <v>989</v>
      </c>
      <c r="B551" s="3">
        <v>-0.33200000000000002</v>
      </c>
      <c r="C551" s="3" t="s">
        <v>12</v>
      </c>
    </row>
    <row r="552" spans="1:4" x14ac:dyDescent="0.2">
      <c r="A552" s="15" t="s">
        <v>990</v>
      </c>
      <c r="B552" s="3">
        <v>-0.77900000000000003</v>
      </c>
      <c r="C552" s="3" t="s">
        <v>12</v>
      </c>
    </row>
    <row r="553" spans="1:4" x14ac:dyDescent="0.2">
      <c r="A553" s="15" t="s">
        <v>991</v>
      </c>
      <c r="B553" s="3">
        <v>0.185</v>
      </c>
      <c r="C553" s="3" t="s">
        <v>13</v>
      </c>
    </row>
    <row r="554" spans="1:4" x14ac:dyDescent="0.2">
      <c r="A554" s="15" t="s">
        <v>992</v>
      </c>
      <c r="B554" s="3">
        <v>-0.23499999999999999</v>
      </c>
      <c r="C554" s="3" t="s">
        <v>12</v>
      </c>
    </row>
    <row r="555" spans="1:4" x14ac:dyDescent="0.2">
      <c r="A555" s="15" t="s">
        <v>993</v>
      </c>
      <c r="B555" s="3">
        <v>-0.39200000000000002</v>
      </c>
      <c r="C555" s="3" t="s">
        <v>12</v>
      </c>
    </row>
    <row r="556" spans="1:4" x14ac:dyDescent="0.2">
      <c r="A556" s="15" t="s">
        <v>994</v>
      </c>
      <c r="B556" s="3">
        <v>7.0000000000000001E-3</v>
      </c>
      <c r="C556" s="3" t="s">
        <v>13</v>
      </c>
    </row>
    <row r="557" spans="1:4" x14ac:dyDescent="0.2">
      <c r="A557" s="15" t="s">
        <v>995</v>
      </c>
      <c r="B557" s="3">
        <v>0.26200000000000001</v>
      </c>
      <c r="C557" s="3" t="s">
        <v>13</v>
      </c>
    </row>
    <row r="558" spans="1:4" x14ac:dyDescent="0.2">
      <c r="A558" s="15" t="s">
        <v>996</v>
      </c>
      <c r="B558" s="3">
        <v>0.17499999999999999</v>
      </c>
      <c r="C558" s="3" t="s">
        <v>13</v>
      </c>
    </row>
    <row r="559" spans="1:4" x14ac:dyDescent="0.2">
      <c r="A559" s="15" t="s">
        <v>997</v>
      </c>
      <c r="B559" s="3">
        <v>-0.21199999999999999</v>
      </c>
      <c r="C559" s="3" t="s">
        <v>12</v>
      </c>
    </row>
    <row r="560" spans="1:4" x14ac:dyDescent="0.2">
      <c r="A560" s="15" t="s">
        <v>892</v>
      </c>
      <c r="B560" s="3">
        <v>-0.20200000000000001</v>
      </c>
      <c r="C560" s="3" t="s">
        <v>12</v>
      </c>
    </row>
    <row r="561" spans="1:4" x14ac:dyDescent="0.2">
      <c r="A561" s="15" t="s">
        <v>998</v>
      </c>
      <c r="B561" s="3">
        <v>8.5000000000000006E-2</v>
      </c>
      <c r="C561" s="3" t="s">
        <v>13</v>
      </c>
    </row>
    <row r="562" spans="1:4" x14ac:dyDescent="0.2">
      <c r="A562" s="15" t="s">
        <v>999</v>
      </c>
      <c r="B562" s="3">
        <v>0.107</v>
      </c>
      <c r="C562" s="3" t="s">
        <v>13</v>
      </c>
    </row>
    <row r="563" spans="1:4" x14ac:dyDescent="0.2">
      <c r="A563" s="15" t="s">
        <v>1000</v>
      </c>
      <c r="B563" s="3">
        <v>1.2E-2</v>
      </c>
      <c r="C563" s="3" t="s">
        <v>13</v>
      </c>
    </row>
    <row r="564" spans="1:4" x14ac:dyDescent="0.2">
      <c r="A564" s="15" t="s">
        <v>1001</v>
      </c>
      <c r="B564" s="3">
        <v>0.34499999999999997</v>
      </c>
      <c r="C564" s="3" t="s">
        <v>13</v>
      </c>
    </row>
    <row r="565" spans="1:4" x14ac:dyDescent="0.2">
      <c r="A565" s="15" t="s">
        <v>1002</v>
      </c>
      <c r="B565" s="3">
        <v>0.38100000000000001</v>
      </c>
      <c r="C565" s="3" t="s">
        <v>13</v>
      </c>
    </row>
    <row r="566" spans="1:4" x14ac:dyDescent="0.2">
      <c r="A566" s="15" t="s">
        <v>1003</v>
      </c>
      <c r="B566" s="3">
        <v>0.26400000000000001</v>
      </c>
      <c r="C566" s="3" t="s">
        <v>13</v>
      </c>
      <c r="D566" t="s">
        <v>318</v>
      </c>
    </row>
    <row r="567" spans="1:4" x14ac:dyDescent="0.2">
      <c r="A567" s="15" t="s">
        <v>1004</v>
      </c>
      <c r="B567" s="3">
        <v>0.437</v>
      </c>
      <c r="C567" s="3" t="s">
        <v>13</v>
      </c>
    </row>
    <row r="568" spans="1:4" x14ac:dyDescent="0.2">
      <c r="A568" s="15" t="s">
        <v>1005</v>
      </c>
      <c r="B568" s="3">
        <v>0.127</v>
      </c>
      <c r="C568" s="3" t="s">
        <v>13</v>
      </c>
    </row>
    <row r="569" spans="1:4" x14ac:dyDescent="0.2">
      <c r="A569" s="15" t="s">
        <v>1006</v>
      </c>
      <c r="B569" s="3">
        <v>-0.41299999999999998</v>
      </c>
      <c r="C569" s="3" t="s">
        <v>12</v>
      </c>
    </row>
    <row r="570" spans="1:4" x14ac:dyDescent="0.2">
      <c r="A570" s="15" t="s">
        <v>1007</v>
      </c>
      <c r="B570" s="3">
        <v>-0.29199999999999998</v>
      </c>
      <c r="C570" s="3" t="s">
        <v>12</v>
      </c>
    </row>
    <row r="571" spans="1:4" x14ac:dyDescent="0.2">
      <c r="A571" s="15" t="s">
        <v>1008</v>
      </c>
      <c r="B571" s="3">
        <v>-0.33500000000000002</v>
      </c>
      <c r="C571" s="3" t="s">
        <v>12</v>
      </c>
    </row>
    <row r="572" spans="1:4" x14ac:dyDescent="0.2">
      <c r="A572" s="7" t="s">
        <v>739</v>
      </c>
      <c r="B572" s="3">
        <v>-0.216</v>
      </c>
      <c r="C572" s="3" t="s">
        <v>12</v>
      </c>
    </row>
    <row r="573" spans="1:4" x14ac:dyDescent="0.2">
      <c r="A573" s="7" t="s">
        <v>1009</v>
      </c>
      <c r="B573" s="3">
        <v>-0.13700000000000001</v>
      </c>
      <c r="C573" s="3" t="s">
        <v>12</v>
      </c>
    </row>
    <row r="574" spans="1:4" x14ac:dyDescent="0.2">
      <c r="A574" s="7" t="s">
        <v>1010</v>
      </c>
      <c r="B574" s="3">
        <v>-7.5999999999999998E-2</v>
      </c>
      <c r="C574" s="3" t="s">
        <v>12</v>
      </c>
    </row>
    <row r="575" spans="1:4" x14ac:dyDescent="0.2">
      <c r="A575" s="7" t="s">
        <v>1011</v>
      </c>
      <c r="B575" s="3">
        <v>-7.2999999999999995E-2</v>
      </c>
      <c r="C575" s="3" t="s">
        <v>12</v>
      </c>
    </row>
    <row r="576" spans="1:4" x14ac:dyDescent="0.2">
      <c r="A576" s="7" t="s">
        <v>1012</v>
      </c>
      <c r="B576" s="3">
        <v>-0.54500000000000004</v>
      </c>
      <c r="C576" s="3" t="s">
        <v>12</v>
      </c>
    </row>
    <row r="577" spans="1:4" x14ac:dyDescent="0.2">
      <c r="A577" s="7" t="s">
        <v>1013</v>
      </c>
      <c r="B577" s="3"/>
      <c r="C577" s="3"/>
      <c r="D577" t="s">
        <v>318</v>
      </c>
    </row>
    <row r="578" spans="1:4" x14ac:dyDescent="0.2">
      <c r="A578" s="24" t="s">
        <v>1014</v>
      </c>
      <c r="B578" s="25"/>
      <c r="C578" s="25"/>
      <c r="D578" t="s">
        <v>1019</v>
      </c>
    </row>
    <row r="579" spans="1:4" x14ac:dyDescent="0.2">
      <c r="A579" s="7" t="s">
        <v>1015</v>
      </c>
      <c r="B579" s="3">
        <v>3.2000000000000001E-2</v>
      </c>
      <c r="C579" s="3" t="s">
        <v>13</v>
      </c>
    </row>
    <row r="580" spans="1:4" x14ac:dyDescent="0.2">
      <c r="A580" s="7" t="s">
        <v>1016</v>
      </c>
      <c r="B580" s="3">
        <v>0.151</v>
      </c>
      <c r="C580" s="3" t="s">
        <v>13</v>
      </c>
    </row>
    <row r="581" spans="1:4" x14ac:dyDescent="0.2">
      <c r="A581" s="7" t="s">
        <v>1017</v>
      </c>
      <c r="B581" s="3">
        <v>-0.55000000000000004</v>
      </c>
      <c r="C581" s="3" t="s">
        <v>12</v>
      </c>
    </row>
    <row r="582" spans="1:4" x14ac:dyDescent="0.2">
      <c r="A582" s="7" t="s">
        <v>1018</v>
      </c>
      <c r="B582" s="3">
        <v>0.19400000000000001</v>
      </c>
      <c r="C582" s="3" t="s">
        <v>13</v>
      </c>
    </row>
    <row r="583" spans="1:4" x14ac:dyDescent="0.2">
      <c r="A583" s="15" t="s">
        <v>1014</v>
      </c>
      <c r="B583" s="3"/>
      <c r="C583" s="3"/>
    </row>
    <row r="584" spans="1:4" x14ac:dyDescent="0.2">
      <c r="A584" s="15" t="s">
        <v>1020</v>
      </c>
      <c r="B584" s="3"/>
      <c r="C584" s="3"/>
    </row>
    <row r="585" spans="1:4" x14ac:dyDescent="0.2">
      <c r="A585" s="15" t="s">
        <v>1021</v>
      </c>
      <c r="B585" s="3"/>
      <c r="C585" s="3"/>
    </row>
    <row r="586" spans="1:4" x14ac:dyDescent="0.2">
      <c r="A586" s="15" t="s">
        <v>1022</v>
      </c>
      <c r="B586" s="3"/>
      <c r="C586" s="3"/>
    </row>
    <row r="587" spans="1:4" x14ac:dyDescent="0.2">
      <c r="A587" s="15" t="s">
        <v>1023</v>
      </c>
      <c r="B587" s="3"/>
      <c r="C587" s="3"/>
    </row>
    <row r="588" spans="1:4" x14ac:dyDescent="0.2">
      <c r="A588" s="15" t="s">
        <v>1024</v>
      </c>
      <c r="B588" s="3"/>
      <c r="C588" s="3"/>
    </row>
    <row r="589" spans="1:4" x14ac:dyDescent="0.2">
      <c r="A589" s="15" t="s">
        <v>1025</v>
      </c>
      <c r="B589" s="3"/>
      <c r="C589" s="3"/>
    </row>
    <row r="590" spans="1:4" x14ac:dyDescent="0.2">
      <c r="A590" s="15" t="s">
        <v>1026</v>
      </c>
      <c r="B590" s="3"/>
      <c r="C590" s="3"/>
    </row>
    <row r="591" spans="1:4" x14ac:dyDescent="0.2">
      <c r="A591" s="15" t="s">
        <v>1027</v>
      </c>
      <c r="B591" s="3"/>
      <c r="C591" s="3"/>
    </row>
    <row r="592" spans="1:4" x14ac:dyDescent="0.2">
      <c r="A592" s="15" t="s">
        <v>1028</v>
      </c>
      <c r="B592" s="3"/>
      <c r="C592" s="3"/>
    </row>
    <row r="593" spans="1:4" x14ac:dyDescent="0.2">
      <c r="A593" s="15" t="s">
        <v>1029</v>
      </c>
      <c r="B593" s="3"/>
      <c r="C593" s="3"/>
    </row>
    <row r="594" spans="1:4" x14ac:dyDescent="0.2">
      <c r="A594" s="15" t="s">
        <v>1030</v>
      </c>
      <c r="B594" s="3"/>
      <c r="C594" s="3"/>
    </row>
    <row r="595" spans="1:4" x14ac:dyDescent="0.2">
      <c r="A595" s="26" t="s">
        <v>1037</v>
      </c>
      <c r="B595" s="25"/>
      <c r="C595" s="25"/>
      <c r="D595" t="s">
        <v>1038</v>
      </c>
    </row>
    <row r="596" spans="1:4" x14ac:dyDescent="0.2">
      <c r="A596" s="26" t="s">
        <v>1037</v>
      </c>
      <c r="B596" s="25"/>
      <c r="C596" s="25"/>
    </row>
    <row r="597" spans="1:4" x14ac:dyDescent="0.2">
      <c r="A597" s="15" t="s">
        <v>1031</v>
      </c>
      <c r="B597" s="3"/>
      <c r="C597" s="3"/>
    </row>
    <row r="598" spans="1:4" x14ac:dyDescent="0.2">
      <c r="A598" s="15" t="s">
        <v>1032</v>
      </c>
      <c r="B598" s="3"/>
      <c r="C598" s="3"/>
    </row>
    <row r="599" spans="1:4" x14ac:dyDescent="0.2">
      <c r="A599" s="15" t="s">
        <v>1033</v>
      </c>
      <c r="B599" s="3"/>
      <c r="C599" s="3"/>
    </row>
    <row r="600" spans="1:4" x14ac:dyDescent="0.2">
      <c r="A600" s="15" t="s">
        <v>1034</v>
      </c>
      <c r="B600" s="3"/>
      <c r="C600" s="3"/>
    </row>
    <row r="601" spans="1:4" x14ac:dyDescent="0.2">
      <c r="A601" s="15" t="s">
        <v>1035</v>
      </c>
      <c r="B601" s="3"/>
      <c r="C601" s="3"/>
    </row>
    <row r="602" spans="1:4" x14ac:dyDescent="0.2">
      <c r="A602" s="15" t="s">
        <v>1036</v>
      </c>
      <c r="B602" s="3"/>
      <c r="C602" s="3"/>
    </row>
    <row r="603" spans="1:4" x14ac:dyDescent="0.2">
      <c r="A603" s="15" t="s">
        <v>721</v>
      </c>
      <c r="B603" s="3"/>
      <c r="C603" s="3"/>
    </row>
  </sheetData>
  <autoFilter ref="A2:D557" xr:uid="{00000000-0009-0000-0000-000000000000}"/>
  <conditionalFormatting sqref="B1:C1">
    <cfRule type="containsText" dxfId="23" priority="2" operator="containsText" text="nevyšetřeno">
      <formula>NOT(ISERROR(SEARCH("nevyšetřeno",B1)))</formula>
    </cfRule>
    <cfRule type="containsText" dxfId="22" priority="3" operator="containsText" text="mut">
      <formula>NOT(ISERROR(SEARCH("mut",B1)))</formula>
    </cfRule>
    <cfRule type="containsText" dxfId="21" priority="6" operator="containsText" text="mut">
      <formula>NOT(ISERROR(SEARCH("mut",B1)))</formula>
    </cfRule>
  </conditionalFormatting>
  <conditionalFormatting sqref="B1:C1">
    <cfRule type="containsText" dxfId="20" priority="4" operator="containsText" text="nevyšetřeno">
      <formula>NOT(ISERROR(SEARCH("nevyšetřeno",B1)))</formula>
    </cfRule>
    <cfRule type="containsText" dxfId="19" priority="5" operator="containsText" text="nelze">
      <formula>NOT(ISERROR(SEARCH("nelze",B1)))</formula>
    </cfRule>
  </conditionalFormatting>
  <conditionalFormatting sqref="B1:C1">
    <cfRule type="containsText" dxfId="18" priority="1" operator="containsText" text="mut">
      <formula>NOT(ISERROR(SEARCH("mut",B1)))</formula>
    </cfRule>
  </conditionalFormatting>
  <pageMargins left="0" right="0" top="0.78740157480314965" bottom="0.78740157480314965" header="0.31496062992125984" footer="0.31496062992125984"/>
  <pageSetup paperSize="9" scale="10" orientation="portrait" horizontalDpi="4294967294" r:id="rId1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8"/>
  <sheetViews>
    <sheetView zoomScale="181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E10" sqref="E10"/>
    </sheetView>
  </sheetViews>
  <sheetFormatPr baseColWidth="10" defaultColWidth="8.83203125" defaultRowHeight="15" x14ac:dyDescent="0.2"/>
  <cols>
    <col min="1" max="1" width="10.6640625" customWidth="1"/>
    <col min="2" max="2" width="8.1640625" customWidth="1"/>
    <col min="3" max="3" width="10.1640625" customWidth="1"/>
    <col min="4" max="4" width="13.33203125" customWidth="1"/>
    <col min="5" max="5" width="12.1640625" customWidth="1"/>
    <col min="6" max="6" width="11" customWidth="1"/>
  </cols>
  <sheetData>
    <row r="1" spans="1:6" ht="15" customHeight="1" x14ac:dyDescent="0.2">
      <c r="A1" s="8" t="s">
        <v>0</v>
      </c>
      <c r="B1" t="s">
        <v>10</v>
      </c>
      <c r="C1" t="s">
        <v>11</v>
      </c>
      <c r="D1" t="s">
        <v>1039</v>
      </c>
      <c r="E1" s="27"/>
      <c r="F1" s="27"/>
    </row>
    <row r="2" spans="1:6" x14ac:dyDescent="0.2">
      <c r="A2" s="1" t="s">
        <v>1</v>
      </c>
      <c r="B2" s="2">
        <v>-0.158</v>
      </c>
      <c r="C2" s="2" t="s">
        <v>12</v>
      </c>
    </row>
    <row r="3" spans="1:6" x14ac:dyDescent="0.2">
      <c r="A3" s="1" t="s">
        <v>2</v>
      </c>
      <c r="B3" s="3">
        <v>5.8000000000000003E-2</v>
      </c>
      <c r="C3" s="3" t="s">
        <v>13</v>
      </c>
    </row>
    <row r="4" spans="1:6" x14ac:dyDescent="0.2">
      <c r="A4" s="1" t="s">
        <v>3</v>
      </c>
      <c r="B4" s="3">
        <v>-3.9E-2</v>
      </c>
      <c r="C4" s="3" t="s">
        <v>12</v>
      </c>
    </row>
    <row r="5" spans="1:6" x14ac:dyDescent="0.2">
      <c r="A5" s="1" t="s">
        <v>4</v>
      </c>
      <c r="B5" s="3">
        <v>6.5000000000000002E-2</v>
      </c>
      <c r="C5" s="3" t="s">
        <v>13</v>
      </c>
    </row>
    <row r="6" spans="1:6" x14ac:dyDescent="0.2">
      <c r="A6" s="1" t="s">
        <v>5</v>
      </c>
      <c r="B6" s="3">
        <v>-0.42899999999999999</v>
      </c>
      <c r="C6" s="3" t="s">
        <v>12</v>
      </c>
    </row>
    <row r="7" spans="1:6" x14ac:dyDescent="0.2">
      <c r="A7" s="1" t="s">
        <v>6</v>
      </c>
      <c r="B7" s="3">
        <v>0.45100000000000001</v>
      </c>
      <c r="C7" s="3" t="s">
        <v>13</v>
      </c>
    </row>
    <row r="8" spans="1:6" x14ac:dyDescent="0.2">
      <c r="A8" s="1" t="s">
        <v>7</v>
      </c>
      <c r="B8" s="3">
        <v>7.2999999999999995E-2</v>
      </c>
      <c r="C8" s="3" t="s">
        <v>13</v>
      </c>
    </row>
    <row r="9" spans="1:6" x14ac:dyDescent="0.2">
      <c r="A9" s="1" t="s">
        <v>8</v>
      </c>
      <c r="B9" s="3">
        <v>-5.1999999999999998E-2</v>
      </c>
      <c r="C9" s="3" t="s">
        <v>12</v>
      </c>
    </row>
    <row r="10" spans="1:6" x14ac:dyDescent="0.2">
      <c r="A10" s="1" t="s">
        <v>9</v>
      </c>
      <c r="B10" s="3">
        <v>-0.25900000000000001</v>
      </c>
      <c r="C10" s="3" t="s">
        <v>12</v>
      </c>
    </row>
    <row r="11" spans="1:6" x14ac:dyDescent="0.2">
      <c r="A11" s="1" t="s">
        <v>14</v>
      </c>
      <c r="B11" s="4">
        <v>-0.219</v>
      </c>
      <c r="C11" s="3" t="s">
        <v>12</v>
      </c>
    </row>
    <row r="12" spans="1:6" x14ac:dyDescent="0.2">
      <c r="A12" s="1" t="s">
        <v>15</v>
      </c>
      <c r="B12" s="4">
        <v>0.09</v>
      </c>
      <c r="C12" s="3" t="s">
        <v>13</v>
      </c>
    </row>
    <row r="13" spans="1:6" x14ac:dyDescent="0.2">
      <c r="A13" s="1" t="s">
        <v>16</v>
      </c>
      <c r="B13" s="4" t="s">
        <v>91</v>
      </c>
      <c r="C13" s="3" t="s">
        <v>304</v>
      </c>
      <c r="D13" t="s">
        <v>55</v>
      </c>
    </row>
    <row r="14" spans="1:6" x14ac:dyDescent="0.2">
      <c r="A14" s="1" t="s">
        <v>16</v>
      </c>
      <c r="B14" s="4">
        <v>-0.3</v>
      </c>
      <c r="C14" s="3" t="s">
        <v>12</v>
      </c>
      <c r="D14" t="s">
        <v>55</v>
      </c>
    </row>
    <row r="15" spans="1:6" x14ac:dyDescent="0.2">
      <c r="A15" s="1" t="s">
        <v>17</v>
      </c>
      <c r="B15" s="4">
        <v>0.38800000000000001</v>
      </c>
      <c r="C15" s="3" t="s">
        <v>13</v>
      </c>
    </row>
    <row r="16" spans="1:6" x14ac:dyDescent="0.2">
      <c r="A16" s="1" t="s">
        <v>18</v>
      </c>
      <c r="B16" s="4">
        <v>-2.5000000000000001E-2</v>
      </c>
      <c r="C16" s="3" t="s">
        <v>12</v>
      </c>
    </row>
    <row r="17" spans="1:4" x14ac:dyDescent="0.2">
      <c r="A17" s="1" t="s">
        <v>19</v>
      </c>
      <c r="B17" s="4">
        <v>0.184</v>
      </c>
      <c r="C17" s="3" t="s">
        <v>13</v>
      </c>
    </row>
    <row r="18" spans="1:4" x14ac:dyDescent="0.2">
      <c r="A18" s="1" t="s">
        <v>20</v>
      </c>
      <c r="B18" s="4">
        <v>0.39500000000000002</v>
      </c>
      <c r="C18" s="3" t="s">
        <v>13</v>
      </c>
    </row>
    <row r="19" spans="1:4" x14ac:dyDescent="0.2">
      <c r="A19" s="1" t="s">
        <v>21</v>
      </c>
      <c r="B19" s="4">
        <v>-0.111</v>
      </c>
      <c r="C19" s="3" t="s">
        <v>12</v>
      </c>
    </row>
    <row r="20" spans="1:4" x14ac:dyDescent="0.2">
      <c r="A20" s="1" t="s">
        <v>22</v>
      </c>
      <c r="B20" s="4">
        <v>-7.0000000000000001E-3</v>
      </c>
      <c r="C20" s="3" t="s">
        <v>12</v>
      </c>
    </row>
    <row r="21" spans="1:4" x14ac:dyDescent="0.2">
      <c r="A21" s="1" t="s">
        <v>23</v>
      </c>
      <c r="B21" s="4">
        <v>0.19500000000000001</v>
      </c>
      <c r="C21" s="3" t="s">
        <v>13</v>
      </c>
    </row>
    <row r="22" spans="1:4" x14ac:dyDescent="0.2">
      <c r="A22" s="1" t="s">
        <v>24</v>
      </c>
      <c r="B22" s="4">
        <v>-0.34</v>
      </c>
      <c r="C22" s="3" t="s">
        <v>12</v>
      </c>
    </row>
    <row r="23" spans="1:4" x14ac:dyDescent="0.2">
      <c r="A23" s="1" t="s">
        <v>25</v>
      </c>
      <c r="B23" s="4">
        <v>0.20399999999999999</v>
      </c>
      <c r="C23" s="3" t="s">
        <v>13</v>
      </c>
    </row>
    <row r="24" spans="1:4" x14ac:dyDescent="0.2">
      <c r="A24" s="1" t="s">
        <v>26</v>
      </c>
      <c r="B24" s="4">
        <v>0.371</v>
      </c>
      <c r="C24" s="3" t="s">
        <v>13</v>
      </c>
    </row>
    <row r="25" spans="1:4" x14ac:dyDescent="0.2">
      <c r="A25" s="1" t="s">
        <v>27</v>
      </c>
      <c r="B25" s="4">
        <v>0.255</v>
      </c>
      <c r="C25" s="3" t="s">
        <v>13</v>
      </c>
    </row>
    <row r="26" spans="1:4" x14ac:dyDescent="0.2">
      <c r="A26" s="1" t="s">
        <v>28</v>
      </c>
      <c r="B26" s="4">
        <v>0.254</v>
      </c>
      <c r="C26" s="3" t="s">
        <v>13</v>
      </c>
    </row>
    <row r="27" spans="1:4" x14ac:dyDescent="0.2">
      <c r="A27" s="1" t="s">
        <v>30</v>
      </c>
      <c r="B27" s="4">
        <v>-0.27900000000000003</v>
      </c>
      <c r="C27" s="3" t="s">
        <v>12</v>
      </c>
    </row>
    <row r="28" spans="1:4" x14ac:dyDescent="0.2">
      <c r="A28" s="1" t="s">
        <v>29</v>
      </c>
      <c r="B28" s="4">
        <v>-0.21299999999999999</v>
      </c>
      <c r="C28" s="3" t="s">
        <v>12</v>
      </c>
    </row>
    <row r="29" spans="1:4" x14ac:dyDescent="0.2">
      <c r="A29" s="1" t="s">
        <v>31</v>
      </c>
      <c r="B29" s="4">
        <v>0.48299999999999998</v>
      </c>
      <c r="C29" s="3" t="s">
        <v>13</v>
      </c>
    </row>
    <row r="30" spans="1:4" x14ac:dyDescent="0.2">
      <c r="A30" s="1" t="s">
        <v>32</v>
      </c>
      <c r="B30" s="4">
        <v>2.3E-2</v>
      </c>
      <c r="C30" s="3" t="s">
        <v>13</v>
      </c>
    </row>
    <row r="31" spans="1:4" x14ac:dyDescent="0.2">
      <c r="A31" s="1" t="s">
        <v>33</v>
      </c>
      <c r="B31" s="4" t="s">
        <v>91</v>
      </c>
      <c r="C31" s="3" t="s">
        <v>304</v>
      </c>
      <c r="D31" t="s">
        <v>55</v>
      </c>
    </row>
    <row r="32" spans="1:4" x14ac:dyDescent="0.2">
      <c r="A32" s="1" t="s">
        <v>33</v>
      </c>
      <c r="B32" s="3">
        <v>-0.26900000000000002</v>
      </c>
      <c r="C32" s="3" t="s">
        <v>12</v>
      </c>
      <c r="D32" t="s">
        <v>55</v>
      </c>
    </row>
    <row r="33" spans="1:4" x14ac:dyDescent="0.2">
      <c r="A33" s="1" t="s">
        <v>34</v>
      </c>
      <c r="B33" s="3">
        <v>0.53800000000000003</v>
      </c>
      <c r="C33" s="3" t="s">
        <v>13</v>
      </c>
    </row>
    <row r="34" spans="1:4" x14ac:dyDescent="0.2">
      <c r="A34" s="1" t="s">
        <v>35</v>
      </c>
      <c r="B34" s="3">
        <v>-9.1999999999999998E-2</v>
      </c>
      <c r="C34" s="3" t="s">
        <v>12</v>
      </c>
    </row>
    <row r="35" spans="1:4" x14ac:dyDescent="0.2">
      <c r="A35" s="1" t="s">
        <v>37</v>
      </c>
      <c r="B35" s="4" t="s">
        <v>91</v>
      </c>
      <c r="C35" s="3" t="s">
        <v>69</v>
      </c>
      <c r="D35" t="s">
        <v>331</v>
      </c>
    </row>
    <row r="36" spans="1:4" x14ac:dyDescent="0.2">
      <c r="A36" s="6" t="s">
        <v>37</v>
      </c>
      <c r="B36" s="3" t="s">
        <v>91</v>
      </c>
      <c r="C36" s="3" t="s">
        <v>69</v>
      </c>
    </row>
    <row r="37" spans="1:4" x14ac:dyDescent="0.2">
      <c r="A37" s="1" t="s">
        <v>38</v>
      </c>
      <c r="B37" s="3">
        <v>7.0000000000000001E-3</v>
      </c>
      <c r="C37" s="3" t="s">
        <v>13</v>
      </c>
    </row>
    <row r="38" spans="1:4" x14ac:dyDescent="0.2">
      <c r="A38" s="1" t="s">
        <v>39</v>
      </c>
      <c r="B38" s="3">
        <v>-0.42799999999999999</v>
      </c>
      <c r="C38" s="3" t="s">
        <v>12</v>
      </c>
    </row>
    <row r="39" spans="1:4" x14ac:dyDescent="0.2">
      <c r="A39" s="1" t="s">
        <v>40</v>
      </c>
      <c r="B39" s="3">
        <v>-0.14899999999999999</v>
      </c>
      <c r="C39" s="3" t="s">
        <v>12</v>
      </c>
    </row>
    <row r="40" spans="1:4" x14ac:dyDescent="0.2">
      <c r="A40" s="1" t="s">
        <v>41</v>
      </c>
      <c r="B40" s="3">
        <v>-0.05</v>
      </c>
      <c r="C40" s="3" t="s">
        <v>12</v>
      </c>
    </row>
    <row r="41" spans="1:4" x14ac:dyDescent="0.2">
      <c r="A41" s="1" t="s">
        <v>42</v>
      </c>
      <c r="B41" s="3">
        <v>0.217</v>
      </c>
      <c r="C41" s="3" t="s">
        <v>13</v>
      </c>
    </row>
    <row r="42" spans="1:4" x14ac:dyDescent="0.2">
      <c r="A42" s="1" t="s">
        <v>43</v>
      </c>
      <c r="B42" s="3">
        <v>0.16900000000000001</v>
      </c>
      <c r="C42" s="3" t="s">
        <v>13</v>
      </c>
    </row>
    <row r="43" spans="1:4" x14ac:dyDescent="0.2">
      <c r="A43" s="1" t="s">
        <v>44</v>
      </c>
      <c r="B43" s="3">
        <v>-8.4000000000000005E-2</v>
      </c>
      <c r="C43" s="3" t="s">
        <v>12</v>
      </c>
    </row>
    <row r="44" spans="1:4" x14ac:dyDescent="0.2">
      <c r="A44" s="1" t="s">
        <v>45</v>
      </c>
      <c r="B44" s="3">
        <v>-0.27300000000000002</v>
      </c>
      <c r="C44" s="3" t="s">
        <v>12</v>
      </c>
    </row>
    <row r="45" spans="1:4" x14ac:dyDescent="0.2">
      <c r="A45" s="1" t="s">
        <v>46</v>
      </c>
      <c r="B45" s="3">
        <v>0.107</v>
      </c>
      <c r="C45" s="3" t="s">
        <v>13</v>
      </c>
    </row>
    <row r="46" spans="1:4" x14ac:dyDescent="0.2">
      <c r="A46" s="1" t="s">
        <v>47</v>
      </c>
      <c r="B46" s="3">
        <v>-9.4E-2</v>
      </c>
      <c r="C46" s="3" t="s">
        <v>12</v>
      </c>
    </row>
    <row r="47" spans="1:4" x14ac:dyDescent="0.2">
      <c r="A47" s="1" t="s">
        <v>48</v>
      </c>
      <c r="B47" s="3">
        <v>-0.22500000000000001</v>
      </c>
      <c r="C47" s="3" t="s">
        <v>12</v>
      </c>
    </row>
    <row r="48" spans="1:4" x14ac:dyDescent="0.2">
      <c r="A48" s="1" t="s">
        <v>50</v>
      </c>
      <c r="B48" s="3">
        <v>-3.5999999999999997E-2</v>
      </c>
      <c r="C48" s="3" t="s">
        <v>12</v>
      </c>
    </row>
    <row r="49" spans="1:4" x14ac:dyDescent="0.2">
      <c r="A49" s="1" t="s">
        <v>52</v>
      </c>
      <c r="B49" s="3" t="s">
        <v>91</v>
      </c>
      <c r="C49" s="3" t="s">
        <v>69</v>
      </c>
      <c r="D49" t="s">
        <v>68</v>
      </c>
    </row>
    <row r="50" spans="1:4" x14ac:dyDescent="0.2">
      <c r="A50" s="6" t="s">
        <v>52</v>
      </c>
      <c r="B50" s="3" t="s">
        <v>243</v>
      </c>
      <c r="C50" s="3" t="s">
        <v>69</v>
      </c>
      <c r="D50" t="s">
        <v>68</v>
      </c>
    </row>
    <row r="51" spans="1:4" x14ac:dyDescent="0.2">
      <c r="A51" s="6" t="s">
        <v>52</v>
      </c>
      <c r="B51" s="3" t="s">
        <v>243</v>
      </c>
      <c r="C51" s="3" t="s">
        <v>69</v>
      </c>
      <c r="D51" t="s">
        <v>316</v>
      </c>
    </row>
    <row r="52" spans="1:4" x14ac:dyDescent="0.2">
      <c r="A52" s="6"/>
      <c r="B52" s="3">
        <v>0.126</v>
      </c>
      <c r="C52" s="3" t="s">
        <v>13</v>
      </c>
      <c r="D52" t="s">
        <v>363</v>
      </c>
    </row>
    <row r="53" spans="1:4" x14ac:dyDescent="0.2">
      <c r="A53" s="1" t="s">
        <v>53</v>
      </c>
      <c r="B53" s="3">
        <v>-0.161</v>
      </c>
      <c r="C53" s="3" t="s">
        <v>12</v>
      </c>
    </row>
    <row r="54" spans="1:4" x14ac:dyDescent="0.2">
      <c r="A54" s="1" t="s">
        <v>54</v>
      </c>
      <c r="B54" s="3">
        <v>0.24099999999999999</v>
      </c>
      <c r="C54" s="3" t="s">
        <v>13</v>
      </c>
    </row>
    <row r="55" spans="1:4" x14ac:dyDescent="0.2">
      <c r="A55" s="1" t="s">
        <v>56</v>
      </c>
      <c r="B55" s="5" t="s">
        <v>69</v>
      </c>
      <c r="C55" s="5"/>
      <c r="D55" t="s">
        <v>64</v>
      </c>
    </row>
    <row r="56" spans="1:4" x14ac:dyDescent="0.2">
      <c r="A56" s="1" t="s">
        <v>57</v>
      </c>
      <c r="B56" s="3">
        <v>-0.127</v>
      </c>
      <c r="C56" s="3" t="s">
        <v>12</v>
      </c>
    </row>
    <row r="57" spans="1:4" x14ac:dyDescent="0.2">
      <c r="A57" s="1" t="s">
        <v>58</v>
      </c>
      <c r="B57" s="3">
        <v>-0.14399999999999999</v>
      </c>
      <c r="C57" s="3" t="s">
        <v>12</v>
      </c>
    </row>
    <row r="58" spans="1:4" x14ac:dyDescent="0.2">
      <c r="A58" s="1" t="s">
        <v>59</v>
      </c>
      <c r="B58" s="3" t="s">
        <v>91</v>
      </c>
      <c r="C58" s="3" t="s">
        <v>69</v>
      </c>
      <c r="D58" t="s">
        <v>317</v>
      </c>
    </row>
    <row r="59" spans="1:4" x14ac:dyDescent="0.2">
      <c r="A59" s="6" t="s">
        <v>59</v>
      </c>
      <c r="B59" s="3" t="s">
        <v>243</v>
      </c>
      <c r="C59" s="3" t="s">
        <v>69</v>
      </c>
      <c r="D59" t="s">
        <v>317</v>
      </c>
    </row>
    <row r="60" spans="1:4" x14ac:dyDescent="0.2">
      <c r="A60" s="6"/>
      <c r="B60" s="3">
        <v>0.13200000000000001</v>
      </c>
      <c r="C60" s="3" t="s">
        <v>13</v>
      </c>
      <c r="D60" t="s">
        <v>363</v>
      </c>
    </row>
    <row r="61" spans="1:4" x14ac:dyDescent="0.2">
      <c r="A61" s="1" t="s">
        <v>60</v>
      </c>
      <c r="B61" s="3">
        <v>-1.7000000000000001E-2</v>
      </c>
      <c r="C61" s="3" t="s">
        <v>12</v>
      </c>
    </row>
    <row r="62" spans="1:4" x14ac:dyDescent="0.2">
      <c r="A62" s="1" t="s">
        <v>61</v>
      </c>
      <c r="B62" s="3">
        <v>0.11799999999999999</v>
      </c>
      <c r="C62" s="3" t="s">
        <v>13</v>
      </c>
    </row>
    <row r="63" spans="1:4" x14ac:dyDescent="0.2">
      <c r="A63" s="1" t="s">
        <v>62</v>
      </c>
      <c r="B63" s="5" t="s">
        <v>69</v>
      </c>
      <c r="C63" s="5"/>
      <c r="D63" t="s">
        <v>64</v>
      </c>
    </row>
    <row r="64" spans="1:4" x14ac:dyDescent="0.2">
      <c r="A64" s="1" t="s">
        <v>63</v>
      </c>
      <c r="B64" s="3">
        <v>-0.34100000000000003</v>
      </c>
      <c r="C64" s="3" t="s">
        <v>12</v>
      </c>
    </row>
    <row r="65" spans="1:6" x14ac:dyDescent="0.2">
      <c r="A65" s="1" t="s">
        <v>65</v>
      </c>
      <c r="B65" s="3">
        <v>-7.9000000000000001E-2</v>
      </c>
      <c r="C65" s="3" t="s">
        <v>12</v>
      </c>
    </row>
    <row r="66" spans="1:6" x14ac:dyDescent="0.2">
      <c r="A66" s="1" t="s">
        <v>66</v>
      </c>
      <c r="B66" s="3">
        <v>0.08</v>
      </c>
      <c r="C66" s="3" t="s">
        <v>13</v>
      </c>
    </row>
    <row r="67" spans="1:6" x14ac:dyDescent="0.2">
      <c r="A67" s="1" t="s">
        <v>67</v>
      </c>
      <c r="B67" s="3">
        <v>-7.1999999999999995E-2</v>
      </c>
      <c r="C67" s="3" t="s">
        <v>12</v>
      </c>
    </row>
    <row r="68" spans="1:6" x14ac:dyDescent="0.2">
      <c r="A68" s="1" t="s">
        <v>70</v>
      </c>
      <c r="B68" s="3">
        <v>0.49199999999999999</v>
      </c>
      <c r="C68" s="3" t="s">
        <v>13</v>
      </c>
    </row>
    <row r="69" spans="1:6" x14ac:dyDescent="0.2">
      <c r="A69" s="1" t="s">
        <v>71</v>
      </c>
      <c r="B69" s="3">
        <v>-0.245</v>
      </c>
      <c r="C69" s="3" t="s">
        <v>12</v>
      </c>
    </row>
    <row r="70" spans="1:6" x14ac:dyDescent="0.2">
      <c r="A70" s="1" t="s">
        <v>72</v>
      </c>
      <c r="B70" s="3">
        <v>-0.32500000000000001</v>
      </c>
      <c r="C70" s="3" t="s">
        <v>12</v>
      </c>
    </row>
    <row r="71" spans="1:6" x14ac:dyDescent="0.2">
      <c r="A71" s="1" t="s">
        <v>73</v>
      </c>
      <c r="B71" s="3">
        <v>-7.0999999999999994E-2</v>
      </c>
      <c r="C71" s="3" t="s">
        <v>12</v>
      </c>
    </row>
    <row r="72" spans="1:6" x14ac:dyDescent="0.2">
      <c r="A72" s="1" t="s">
        <v>74</v>
      </c>
      <c r="B72" s="3">
        <v>-2.5000000000000001E-2</v>
      </c>
      <c r="C72" s="3" t="s">
        <v>12</v>
      </c>
    </row>
    <row r="73" spans="1:6" x14ac:dyDescent="0.2">
      <c r="A73" s="1" t="s">
        <v>75</v>
      </c>
      <c r="B73" s="3">
        <v>-0.67700000000000005</v>
      </c>
      <c r="C73" s="3" t="s">
        <v>12</v>
      </c>
    </row>
    <row r="74" spans="1:6" x14ac:dyDescent="0.2">
      <c r="A74" s="1" t="s">
        <v>76</v>
      </c>
      <c r="B74" s="3">
        <v>-0.92100000000000004</v>
      </c>
      <c r="C74" s="3" t="s">
        <v>12</v>
      </c>
    </row>
    <row r="75" spans="1:6" x14ac:dyDescent="0.2">
      <c r="A75" s="1" t="s">
        <v>77</v>
      </c>
      <c r="B75" s="3">
        <v>6.2E-2</v>
      </c>
      <c r="C75" s="3" t="s">
        <v>13</v>
      </c>
    </row>
    <row r="76" spans="1:6" x14ac:dyDescent="0.2">
      <c r="A76" s="7" t="s">
        <v>78</v>
      </c>
      <c r="B76" s="3">
        <v>-0.59099999999999997</v>
      </c>
      <c r="C76" s="3" t="s">
        <v>12</v>
      </c>
    </row>
    <row r="77" spans="1:6" x14ac:dyDescent="0.2">
      <c r="A77" s="7" t="s">
        <v>79</v>
      </c>
      <c r="B77" s="3">
        <v>3.1E-2</v>
      </c>
      <c r="C77" s="3" t="s">
        <v>13</v>
      </c>
    </row>
    <row r="78" spans="1:6" x14ac:dyDescent="0.2">
      <c r="A78" s="7" t="s">
        <v>80</v>
      </c>
      <c r="B78" s="3">
        <v>-0.14299999999999999</v>
      </c>
      <c r="C78" s="3" t="s">
        <v>12</v>
      </c>
    </row>
    <row r="79" spans="1:6" x14ac:dyDescent="0.2">
      <c r="A79" s="1" t="s">
        <v>82</v>
      </c>
      <c r="B79" s="3" t="s">
        <v>91</v>
      </c>
      <c r="C79" s="3" t="s">
        <v>69</v>
      </c>
      <c r="D79" t="s">
        <v>317</v>
      </c>
      <c r="E79" t="e">
        <f>(#REF!)*#REF!</f>
        <v>#REF!</v>
      </c>
      <c r="F79" t="e">
        <f>200/E79</f>
        <v>#REF!</v>
      </c>
    </row>
    <row r="80" spans="1:6" x14ac:dyDescent="0.2">
      <c r="A80" s="6" t="s">
        <v>82</v>
      </c>
      <c r="B80" s="3" t="s">
        <v>91</v>
      </c>
      <c r="C80" s="3" t="s">
        <v>69</v>
      </c>
      <c r="D80" t="s">
        <v>317</v>
      </c>
      <c r="E80" t="e">
        <f>(#REF!)*#REF!</f>
        <v>#REF!</v>
      </c>
      <c r="F80" t="e">
        <f>200/E80</f>
        <v>#REF!</v>
      </c>
    </row>
    <row r="81" spans="1:6" x14ac:dyDescent="0.2">
      <c r="A81" s="1"/>
      <c r="B81" s="3">
        <v>0.22500000000000001</v>
      </c>
      <c r="C81" s="3" t="s">
        <v>13</v>
      </c>
      <c r="D81" t="s">
        <v>363</v>
      </c>
    </row>
    <row r="82" spans="1:6" x14ac:dyDescent="0.2">
      <c r="A82" s="1" t="s">
        <v>83</v>
      </c>
      <c r="B82" s="3">
        <v>-0.156</v>
      </c>
      <c r="C82" s="3" t="s">
        <v>12</v>
      </c>
    </row>
    <row r="83" spans="1:6" x14ac:dyDescent="0.2">
      <c r="A83" s="1" t="s">
        <v>85</v>
      </c>
      <c r="B83" s="3">
        <v>-0.317</v>
      </c>
      <c r="C83" s="3" t="s">
        <v>12</v>
      </c>
    </row>
    <row r="84" spans="1:6" x14ac:dyDescent="0.2">
      <c r="A84" s="1" t="s">
        <v>86</v>
      </c>
      <c r="B84" s="3" t="s">
        <v>69</v>
      </c>
      <c r="C84" s="3"/>
    </row>
    <row r="85" spans="1:6" x14ac:dyDescent="0.2">
      <c r="A85" s="1" t="s">
        <v>87</v>
      </c>
      <c r="B85" s="3">
        <v>2.1999999999999999E-2</v>
      </c>
      <c r="C85" s="3" t="s">
        <v>13</v>
      </c>
    </row>
    <row r="86" spans="1:6" x14ac:dyDescent="0.2">
      <c r="A86" s="1" t="s">
        <v>88</v>
      </c>
      <c r="B86" s="3" t="s">
        <v>91</v>
      </c>
      <c r="C86" s="3" t="s">
        <v>304</v>
      </c>
      <c r="D86" t="s">
        <v>103</v>
      </c>
    </row>
    <row r="87" spans="1:6" x14ac:dyDescent="0.2">
      <c r="A87" s="1" t="s">
        <v>88</v>
      </c>
      <c r="B87" s="3">
        <v>0.17699999999999999</v>
      </c>
      <c r="C87" s="3" t="s">
        <v>13</v>
      </c>
      <c r="D87" t="s">
        <v>103</v>
      </c>
    </row>
    <row r="88" spans="1:6" x14ac:dyDescent="0.2">
      <c r="A88" s="1" t="s">
        <v>89</v>
      </c>
      <c r="B88" s="3">
        <v>-0.159</v>
      </c>
      <c r="C88" s="3" t="s">
        <v>12</v>
      </c>
    </row>
    <row r="89" spans="1:6" x14ac:dyDescent="0.2">
      <c r="A89" s="1" t="s">
        <v>90</v>
      </c>
      <c r="B89" s="3">
        <v>0.51300000000000001</v>
      </c>
      <c r="C89" s="3" t="s">
        <v>13</v>
      </c>
    </row>
    <row r="90" spans="1:6" x14ac:dyDescent="0.2">
      <c r="A90" s="1" t="s">
        <v>92</v>
      </c>
      <c r="B90" s="3">
        <v>-0.156</v>
      </c>
      <c r="C90" s="3" t="s">
        <v>12</v>
      </c>
    </row>
    <row r="91" spans="1:6" ht="16" thickBot="1" x14ac:dyDescent="0.25">
      <c r="A91" s="12" t="s">
        <v>93</v>
      </c>
      <c r="B91" s="13" t="s">
        <v>91</v>
      </c>
      <c r="C91" s="13" t="s">
        <v>304</v>
      </c>
      <c r="D91" t="s">
        <v>332</v>
      </c>
      <c r="E91" s="8"/>
      <c r="F91" s="8"/>
    </row>
    <row r="92" spans="1:6" ht="16" thickTop="1" x14ac:dyDescent="0.2">
      <c r="A92" s="1" t="s">
        <v>93</v>
      </c>
      <c r="B92" s="2">
        <v>0.42099999999999999</v>
      </c>
      <c r="C92" s="2" t="s">
        <v>13</v>
      </c>
      <c r="E92" t="e">
        <f>(#REF!)*#REF!</f>
        <v>#REF!</v>
      </c>
      <c r="F92" t="e">
        <f>200/E92</f>
        <v>#REF!</v>
      </c>
    </row>
    <row r="93" spans="1:6" x14ac:dyDescent="0.2">
      <c r="A93" s="1" t="s">
        <v>94</v>
      </c>
      <c r="B93" s="3" t="s">
        <v>91</v>
      </c>
      <c r="C93" s="3" t="s">
        <v>304</v>
      </c>
      <c r="D93" t="s">
        <v>333</v>
      </c>
      <c r="E93" t="e">
        <f>(#REF!)*#REF!</f>
        <v>#REF!</v>
      </c>
      <c r="F93" t="e">
        <f t="shared" ref="F93:F103" si="0">200/E93</f>
        <v>#REF!</v>
      </c>
    </row>
    <row r="94" spans="1:6" x14ac:dyDescent="0.2">
      <c r="A94" s="6" t="s">
        <v>94</v>
      </c>
      <c r="B94" s="3">
        <v>0.112</v>
      </c>
      <c r="C94" s="3" t="s">
        <v>13</v>
      </c>
      <c r="E94" t="e">
        <f>(#REF!)*#REF!</f>
        <v>#REF!</v>
      </c>
      <c r="F94" t="e">
        <f t="shared" si="0"/>
        <v>#REF!</v>
      </c>
    </row>
    <row r="95" spans="1:6" x14ac:dyDescent="0.2">
      <c r="A95" s="1" t="s">
        <v>95</v>
      </c>
      <c r="B95" s="3" t="s">
        <v>91</v>
      </c>
      <c r="C95" s="3" t="s">
        <v>304</v>
      </c>
      <c r="D95" t="s">
        <v>333</v>
      </c>
      <c r="E95" t="e">
        <f>(#REF!)*#REF!</f>
        <v>#REF!</v>
      </c>
      <c r="F95" t="e">
        <f t="shared" si="0"/>
        <v>#REF!</v>
      </c>
    </row>
    <row r="96" spans="1:6" x14ac:dyDescent="0.2">
      <c r="A96" s="6" t="s">
        <v>95</v>
      </c>
      <c r="B96" s="3">
        <v>-0.215</v>
      </c>
      <c r="C96" s="3" t="s">
        <v>12</v>
      </c>
      <c r="E96" t="e">
        <f>(#REF!)*#REF!</f>
        <v>#REF!</v>
      </c>
      <c r="F96" t="e">
        <f t="shared" si="0"/>
        <v>#REF!</v>
      </c>
    </row>
    <row r="97" spans="1:6" x14ac:dyDescent="0.2">
      <c r="A97" s="1" t="s">
        <v>96</v>
      </c>
      <c r="B97" s="3">
        <v>-0.104</v>
      </c>
      <c r="C97" s="3" t="s">
        <v>12</v>
      </c>
      <c r="E97" t="e">
        <f>(#REF!)*#REF!</f>
        <v>#REF!</v>
      </c>
      <c r="F97" t="e">
        <f t="shared" si="0"/>
        <v>#REF!</v>
      </c>
    </row>
    <row r="98" spans="1:6" x14ac:dyDescent="0.2">
      <c r="A98" s="1" t="s">
        <v>97</v>
      </c>
      <c r="B98" s="3">
        <v>-0.13300000000000001</v>
      </c>
      <c r="C98" s="3" t="s">
        <v>12</v>
      </c>
      <c r="E98" t="e">
        <f>(#REF!)*#REF!</f>
        <v>#REF!</v>
      </c>
      <c r="F98" t="e">
        <f t="shared" si="0"/>
        <v>#REF!</v>
      </c>
    </row>
    <row r="99" spans="1:6" x14ac:dyDescent="0.2">
      <c r="A99" s="1" t="s">
        <v>98</v>
      </c>
      <c r="B99" s="3">
        <v>0.17199999999999999</v>
      </c>
      <c r="C99" s="3" t="s">
        <v>13</v>
      </c>
      <c r="E99" t="e">
        <f>(#REF!)*#REF!</f>
        <v>#REF!</v>
      </c>
      <c r="F99" t="e">
        <f t="shared" si="0"/>
        <v>#REF!</v>
      </c>
    </row>
    <row r="100" spans="1:6" x14ac:dyDescent="0.2">
      <c r="A100" s="1" t="s">
        <v>99</v>
      </c>
      <c r="B100" s="3">
        <v>-6.7000000000000004E-2</v>
      </c>
      <c r="C100" s="3" t="s">
        <v>12</v>
      </c>
      <c r="E100" t="e">
        <f>(#REF!)*#REF!</f>
        <v>#REF!</v>
      </c>
      <c r="F100" t="e">
        <f t="shared" si="0"/>
        <v>#REF!</v>
      </c>
    </row>
    <row r="101" spans="1:6" x14ac:dyDescent="0.2">
      <c r="A101" s="1" t="s">
        <v>100</v>
      </c>
      <c r="B101" s="3">
        <v>-0.17100000000000001</v>
      </c>
      <c r="C101" s="3" t="s">
        <v>12</v>
      </c>
      <c r="E101" t="e">
        <f>(#REF!)*#REF!</f>
        <v>#REF!</v>
      </c>
      <c r="F101" t="e">
        <f t="shared" si="0"/>
        <v>#REF!</v>
      </c>
    </row>
    <row r="102" spans="1:6" x14ac:dyDescent="0.2">
      <c r="A102" s="1" t="s">
        <v>101</v>
      </c>
      <c r="B102" s="3">
        <v>-0.57599999999999996</v>
      </c>
      <c r="C102" s="3" t="s">
        <v>12</v>
      </c>
      <c r="E102" t="e">
        <f>(#REF!)*#REF!</f>
        <v>#REF!</v>
      </c>
      <c r="F102" t="e">
        <f t="shared" si="0"/>
        <v>#REF!</v>
      </c>
    </row>
    <row r="103" spans="1:6" x14ac:dyDescent="0.2">
      <c r="A103" s="1" t="s">
        <v>102</v>
      </c>
      <c r="B103" s="3">
        <v>-0.25900000000000001</v>
      </c>
      <c r="C103" s="3" t="s">
        <v>12</v>
      </c>
      <c r="E103" t="e">
        <f>(#REF!)*#REF!</f>
        <v>#REF!</v>
      </c>
      <c r="F103" t="e">
        <f t="shared" si="0"/>
        <v>#REF!</v>
      </c>
    </row>
    <row r="104" spans="1:6" x14ac:dyDescent="0.2">
      <c r="A104" s="1" t="s">
        <v>104</v>
      </c>
      <c r="B104" s="3">
        <v>-0.48099999999999998</v>
      </c>
      <c r="C104" s="3" t="s">
        <v>12</v>
      </c>
      <c r="E104" t="e">
        <f>(#REF!)*#REF!</f>
        <v>#REF!</v>
      </c>
      <c r="F104" t="e">
        <f>200/E104</f>
        <v>#REF!</v>
      </c>
    </row>
    <row r="105" spans="1:6" x14ac:dyDescent="0.2">
      <c r="A105" s="1" t="s">
        <v>105</v>
      </c>
      <c r="B105" s="3">
        <v>0.23799999999999999</v>
      </c>
      <c r="C105" s="3" t="s">
        <v>13</v>
      </c>
      <c r="E105" t="e">
        <f>(#REF!)*#REF!</f>
        <v>#REF!</v>
      </c>
      <c r="F105" t="e">
        <f t="shared" ref="F105:F112" si="1">200/E105</f>
        <v>#REF!</v>
      </c>
    </row>
    <row r="106" spans="1:6" x14ac:dyDescent="0.2">
      <c r="A106" s="1" t="s">
        <v>106</v>
      </c>
      <c r="B106" s="3">
        <v>-0.19500000000000001</v>
      </c>
      <c r="C106" s="3" t="s">
        <v>12</v>
      </c>
      <c r="E106" t="e">
        <f>(#REF!)*#REF!</f>
        <v>#REF!</v>
      </c>
      <c r="F106" t="e">
        <f t="shared" si="1"/>
        <v>#REF!</v>
      </c>
    </row>
    <row r="107" spans="1:6" x14ac:dyDescent="0.2">
      <c r="A107" s="1" t="s">
        <v>107</v>
      </c>
      <c r="B107" s="3">
        <v>-0.17199999999999999</v>
      </c>
      <c r="C107" s="3" t="s">
        <v>12</v>
      </c>
      <c r="E107" t="e">
        <f>(#REF!)*#REF!</f>
        <v>#REF!</v>
      </c>
      <c r="F107" t="e">
        <f t="shared" si="1"/>
        <v>#REF!</v>
      </c>
    </row>
    <row r="108" spans="1:6" x14ac:dyDescent="0.2">
      <c r="A108" s="1" t="s">
        <v>108</v>
      </c>
      <c r="B108" s="3">
        <v>-0.08</v>
      </c>
      <c r="C108" s="3" t="s">
        <v>12</v>
      </c>
      <c r="E108" t="e">
        <f>(#REF!)*#REF!</f>
        <v>#REF!</v>
      </c>
      <c r="F108" t="e">
        <f t="shared" si="1"/>
        <v>#REF!</v>
      </c>
    </row>
    <row r="109" spans="1:6" x14ac:dyDescent="0.2">
      <c r="A109" s="1" t="s">
        <v>109</v>
      </c>
      <c r="B109" s="3">
        <v>5.5E-2</v>
      </c>
      <c r="C109" s="3" t="s">
        <v>13</v>
      </c>
      <c r="E109" t="e">
        <f>(#REF!)*#REF!</f>
        <v>#REF!</v>
      </c>
      <c r="F109" t="e">
        <f t="shared" si="1"/>
        <v>#REF!</v>
      </c>
    </row>
    <row r="110" spans="1:6" x14ac:dyDescent="0.2">
      <c r="A110" s="1" t="s">
        <v>110</v>
      </c>
      <c r="B110" s="3">
        <v>0.27800000000000002</v>
      </c>
      <c r="C110" s="3" t="s">
        <v>13</v>
      </c>
      <c r="E110" t="e">
        <f>(#REF!)*#REF!</f>
        <v>#REF!</v>
      </c>
      <c r="F110" t="e">
        <f t="shared" si="1"/>
        <v>#REF!</v>
      </c>
    </row>
    <row r="111" spans="1:6" x14ac:dyDescent="0.2">
      <c r="A111" s="1" t="s">
        <v>111</v>
      </c>
      <c r="B111" s="3">
        <v>0.40200000000000002</v>
      </c>
      <c r="C111" s="3" t="s">
        <v>13</v>
      </c>
      <c r="E111" t="e">
        <f>(#REF!)*#REF!</f>
        <v>#REF!</v>
      </c>
      <c r="F111" t="e">
        <f t="shared" si="1"/>
        <v>#REF!</v>
      </c>
    </row>
    <row r="112" spans="1:6" x14ac:dyDescent="0.2">
      <c r="A112" s="1" t="s">
        <v>112</v>
      </c>
      <c r="B112" s="3">
        <v>-0.49399999999999999</v>
      </c>
      <c r="C112" s="3" t="s">
        <v>12</v>
      </c>
      <c r="E112" t="e">
        <f>(#REF!)*#REF!</f>
        <v>#REF!</v>
      </c>
      <c r="F112" t="e">
        <f t="shared" si="1"/>
        <v>#REF!</v>
      </c>
    </row>
    <row r="113" spans="1:6" x14ac:dyDescent="0.2">
      <c r="A113" s="1" t="s">
        <v>113</v>
      </c>
      <c r="B113" s="3">
        <v>-0.22800000000000001</v>
      </c>
      <c r="C113" s="3" t="s">
        <v>12</v>
      </c>
      <c r="E113" t="e">
        <f>(#REF!)*#REF!</f>
        <v>#REF!</v>
      </c>
      <c r="F113" t="e">
        <f t="shared" ref="F113:F121" si="2">200/E113</f>
        <v>#REF!</v>
      </c>
    </row>
    <row r="114" spans="1:6" x14ac:dyDescent="0.2">
      <c r="A114" s="1" t="s">
        <v>114</v>
      </c>
      <c r="B114" s="3">
        <v>6.7000000000000004E-2</v>
      </c>
      <c r="C114" s="3" t="s">
        <v>13</v>
      </c>
      <c r="E114" t="e">
        <f>(#REF!)*#REF!</f>
        <v>#REF!</v>
      </c>
      <c r="F114" t="e">
        <f t="shared" si="2"/>
        <v>#REF!</v>
      </c>
    </row>
    <row r="115" spans="1:6" x14ac:dyDescent="0.2">
      <c r="A115" s="1" t="s">
        <v>115</v>
      </c>
      <c r="B115" s="3">
        <v>-0.89100000000000001</v>
      </c>
      <c r="C115" s="3" t="s">
        <v>12</v>
      </c>
      <c r="E115" t="e">
        <f>(#REF!)*#REF!</f>
        <v>#REF!</v>
      </c>
      <c r="F115" t="e">
        <f t="shared" si="2"/>
        <v>#REF!</v>
      </c>
    </row>
    <row r="116" spans="1:6" x14ac:dyDescent="0.2">
      <c r="A116" s="1" t="s">
        <v>116</v>
      </c>
      <c r="B116" s="3">
        <v>0.223</v>
      </c>
      <c r="C116" s="3" t="s">
        <v>13</v>
      </c>
      <c r="E116" t="e">
        <f>(#REF!)*#REF!</f>
        <v>#REF!</v>
      </c>
      <c r="F116" t="e">
        <f t="shared" si="2"/>
        <v>#REF!</v>
      </c>
    </row>
    <row r="117" spans="1:6" x14ac:dyDescent="0.2">
      <c r="A117" s="1" t="s">
        <v>117</v>
      </c>
      <c r="B117" s="4">
        <v>0.19</v>
      </c>
      <c r="C117" s="3" t="s">
        <v>13</v>
      </c>
      <c r="E117" t="e">
        <f>(#REF!)*#REF!</f>
        <v>#REF!</v>
      </c>
      <c r="F117" t="e">
        <f t="shared" si="2"/>
        <v>#REF!</v>
      </c>
    </row>
    <row r="118" spans="1:6" x14ac:dyDescent="0.2">
      <c r="A118" s="1" t="s">
        <v>118</v>
      </c>
      <c r="B118" s="3">
        <v>-0.35799999999999998</v>
      </c>
      <c r="C118" s="3" t="s">
        <v>12</v>
      </c>
      <c r="E118" t="e">
        <f>(#REF!)*#REF!</f>
        <v>#REF!</v>
      </c>
      <c r="F118" t="e">
        <f t="shared" si="2"/>
        <v>#REF!</v>
      </c>
    </row>
    <row r="119" spans="1:6" x14ac:dyDescent="0.2">
      <c r="A119" s="1" t="s">
        <v>119</v>
      </c>
      <c r="B119" s="4">
        <v>0.02</v>
      </c>
      <c r="C119" s="3" t="s">
        <v>13</v>
      </c>
      <c r="E119" t="e">
        <f>(#REF!)*#REF!</f>
        <v>#REF!</v>
      </c>
      <c r="F119" t="e">
        <f t="shared" si="2"/>
        <v>#REF!</v>
      </c>
    </row>
    <row r="120" spans="1:6" x14ac:dyDescent="0.2">
      <c r="A120" s="1" t="s">
        <v>120</v>
      </c>
      <c r="B120" s="3">
        <v>-0.69799999999999995</v>
      </c>
      <c r="C120" s="3" t="s">
        <v>12</v>
      </c>
      <c r="E120" t="e">
        <f>(#REF!)*#REF!</f>
        <v>#REF!</v>
      </c>
      <c r="F120" t="e">
        <f t="shared" si="2"/>
        <v>#REF!</v>
      </c>
    </row>
    <row r="121" spans="1:6" x14ac:dyDescent="0.2">
      <c r="A121" s="1" t="s">
        <v>121</v>
      </c>
      <c r="B121" s="3">
        <v>0.13800000000000001</v>
      </c>
      <c r="C121" s="3" t="s">
        <v>13</v>
      </c>
      <c r="E121" t="e">
        <f>(#REF!)*#REF!</f>
        <v>#REF!</v>
      </c>
      <c r="F121" t="e">
        <f t="shared" si="2"/>
        <v>#REF!</v>
      </c>
    </row>
    <row r="122" spans="1:6" x14ac:dyDescent="0.2">
      <c r="A122" s="1" t="s">
        <v>122</v>
      </c>
      <c r="B122" s="3">
        <v>-0.29499999999999998</v>
      </c>
      <c r="C122" s="3" t="s">
        <v>12</v>
      </c>
      <c r="E122" t="e">
        <f>(#REF!)*#REF!</f>
        <v>#REF!</v>
      </c>
      <c r="F122" t="e">
        <f t="shared" ref="F122:F182" si="3">200/E122</f>
        <v>#REF!</v>
      </c>
    </row>
    <row r="123" spans="1:6" x14ac:dyDescent="0.2">
      <c r="A123" s="1" t="s">
        <v>123</v>
      </c>
      <c r="B123" s="3">
        <v>0.46100000000000002</v>
      </c>
      <c r="C123" s="3" t="s">
        <v>13</v>
      </c>
      <c r="E123" t="e">
        <f>(#REF!)*#REF!</f>
        <v>#REF!</v>
      </c>
      <c r="F123" t="e">
        <f t="shared" si="3"/>
        <v>#REF!</v>
      </c>
    </row>
    <row r="124" spans="1:6" x14ac:dyDescent="0.2">
      <c r="A124" s="1" t="s">
        <v>124</v>
      </c>
      <c r="B124" s="3">
        <v>0.23200000000000001</v>
      </c>
      <c r="C124" s="3" t="s">
        <v>13</v>
      </c>
      <c r="E124" t="e">
        <f>(#REF!)*#REF!</f>
        <v>#REF!</v>
      </c>
      <c r="F124" t="e">
        <f t="shared" si="3"/>
        <v>#REF!</v>
      </c>
    </row>
    <row r="125" spans="1:6" x14ac:dyDescent="0.2">
      <c r="A125" s="1" t="s">
        <v>125</v>
      </c>
      <c r="B125" s="3">
        <v>-0.218</v>
      </c>
      <c r="C125" s="3" t="s">
        <v>12</v>
      </c>
      <c r="E125" t="e">
        <f>(#REF!)*#REF!</f>
        <v>#REF!</v>
      </c>
      <c r="F125" t="e">
        <f t="shared" si="3"/>
        <v>#REF!</v>
      </c>
    </row>
    <row r="126" spans="1:6" x14ac:dyDescent="0.2">
      <c r="A126" s="1" t="s">
        <v>126</v>
      </c>
      <c r="B126" s="3">
        <v>-0.46700000000000003</v>
      </c>
      <c r="C126" s="3" t="s">
        <v>12</v>
      </c>
      <c r="D126" t="s">
        <v>127</v>
      </c>
      <c r="E126" t="e">
        <f>(#REF!)*#REF!</f>
        <v>#REF!</v>
      </c>
      <c r="F126" t="e">
        <f t="shared" si="3"/>
        <v>#REF!</v>
      </c>
    </row>
    <row r="127" spans="1:6" x14ac:dyDescent="0.2">
      <c r="A127" s="1" t="s">
        <v>128</v>
      </c>
      <c r="B127" s="3">
        <v>1.4E-2</v>
      </c>
      <c r="C127" s="3" t="s">
        <v>13</v>
      </c>
      <c r="E127" t="e">
        <f>(#REF!)*#REF!</f>
        <v>#REF!</v>
      </c>
      <c r="F127" t="e">
        <f t="shared" si="3"/>
        <v>#REF!</v>
      </c>
    </row>
    <row r="128" spans="1:6" x14ac:dyDescent="0.2">
      <c r="A128" s="1" t="s">
        <v>129</v>
      </c>
      <c r="B128" s="9">
        <v>0.06</v>
      </c>
      <c r="C128" s="3" t="s">
        <v>13</v>
      </c>
      <c r="E128" t="e">
        <f>(#REF!)*#REF!</f>
        <v>#REF!</v>
      </c>
      <c r="F128" t="e">
        <f t="shared" si="3"/>
        <v>#REF!</v>
      </c>
    </row>
    <row r="129" spans="1:6" x14ac:dyDescent="0.2">
      <c r="A129" s="1" t="s">
        <v>130</v>
      </c>
      <c r="B129" s="3">
        <v>-0.19800000000000001</v>
      </c>
      <c r="C129" s="3" t="s">
        <v>12</v>
      </c>
      <c r="E129" t="e">
        <f>(#REF!)*#REF!</f>
        <v>#REF!</v>
      </c>
      <c r="F129" t="e">
        <f t="shared" si="3"/>
        <v>#REF!</v>
      </c>
    </row>
    <row r="130" spans="1:6" x14ac:dyDescent="0.2">
      <c r="A130" s="1" t="s">
        <v>131</v>
      </c>
      <c r="B130" s="3">
        <v>-0.16600000000000001</v>
      </c>
      <c r="C130" s="3" t="s">
        <v>12</v>
      </c>
      <c r="E130" t="e">
        <f>(#REF!)*#REF!</f>
        <v>#REF!</v>
      </c>
      <c r="F130" t="e">
        <f t="shared" si="3"/>
        <v>#REF!</v>
      </c>
    </row>
    <row r="131" spans="1:6" x14ac:dyDescent="0.2">
      <c r="A131" s="1" t="s">
        <v>36</v>
      </c>
      <c r="B131" s="3">
        <v>-9.6000000000000002E-2</v>
      </c>
      <c r="C131" s="3" t="s">
        <v>12</v>
      </c>
      <c r="E131" t="e">
        <f>(#REF!)*#REF!</f>
        <v>#REF!</v>
      </c>
      <c r="F131" t="e">
        <f t="shared" si="3"/>
        <v>#REF!</v>
      </c>
    </row>
    <row r="132" spans="1:6" x14ac:dyDescent="0.2">
      <c r="A132" s="1" t="s">
        <v>132</v>
      </c>
      <c r="B132" s="3">
        <v>0.114</v>
      </c>
      <c r="C132" s="3" t="s">
        <v>13</v>
      </c>
      <c r="E132" t="e">
        <f>(#REF!)*#REF!</f>
        <v>#REF!</v>
      </c>
      <c r="F132" t="e">
        <f t="shared" si="3"/>
        <v>#REF!</v>
      </c>
    </row>
    <row r="133" spans="1:6" x14ac:dyDescent="0.2">
      <c r="A133" s="1" t="s">
        <v>133</v>
      </c>
      <c r="B133" s="3">
        <v>-0.503</v>
      </c>
      <c r="C133" s="3" t="str">
        <f t="shared" ref="C133:C145" si="4">IF(B133&gt;D$133,"A Luminal","B Luminal")</f>
        <v>B Luminal</v>
      </c>
      <c r="E133" t="e">
        <f>(#REF!)*#REF!</f>
        <v>#REF!</v>
      </c>
      <c r="F133" t="e">
        <f t="shared" si="3"/>
        <v>#REF!</v>
      </c>
    </row>
    <row r="134" spans="1:6" x14ac:dyDescent="0.2">
      <c r="A134" s="1" t="s">
        <v>134</v>
      </c>
      <c r="B134" s="3">
        <v>-0.24399999999999999</v>
      </c>
      <c r="C134" s="3" t="str">
        <f t="shared" si="4"/>
        <v>B Luminal</v>
      </c>
      <c r="E134" t="e">
        <f>(#REF!)*#REF!</f>
        <v>#REF!</v>
      </c>
      <c r="F134" t="e">
        <f t="shared" si="3"/>
        <v>#REF!</v>
      </c>
    </row>
    <row r="135" spans="1:6" x14ac:dyDescent="0.2">
      <c r="A135" s="1" t="s">
        <v>135</v>
      </c>
      <c r="B135" s="3">
        <v>-2.4E-2</v>
      </c>
      <c r="C135" s="3" t="str">
        <f t="shared" si="4"/>
        <v>B Luminal</v>
      </c>
      <c r="E135" t="e">
        <f>(#REF!)*#REF!</f>
        <v>#REF!</v>
      </c>
      <c r="F135" t="e">
        <f t="shared" si="3"/>
        <v>#REF!</v>
      </c>
    </row>
    <row r="136" spans="1:6" x14ac:dyDescent="0.2">
      <c r="A136" s="1" t="s">
        <v>136</v>
      </c>
      <c r="B136" s="3">
        <v>-9.7000000000000003E-2</v>
      </c>
      <c r="C136" s="3" t="str">
        <f t="shared" si="4"/>
        <v>B Luminal</v>
      </c>
      <c r="E136" t="e">
        <f>(#REF!)*#REF!</f>
        <v>#REF!</v>
      </c>
      <c r="F136" t="e">
        <f t="shared" si="3"/>
        <v>#REF!</v>
      </c>
    </row>
    <row r="137" spans="1:6" x14ac:dyDescent="0.2">
      <c r="A137" s="1" t="s">
        <v>137</v>
      </c>
      <c r="B137" s="3">
        <v>-0.315</v>
      </c>
      <c r="C137" s="3" t="str">
        <f t="shared" si="4"/>
        <v>B Luminal</v>
      </c>
      <c r="E137" t="e">
        <f>(#REF!)*#REF!</f>
        <v>#REF!</v>
      </c>
      <c r="F137" t="e">
        <f t="shared" si="3"/>
        <v>#REF!</v>
      </c>
    </row>
    <row r="138" spans="1:6" x14ac:dyDescent="0.2">
      <c r="A138" s="1" t="s">
        <v>138</v>
      </c>
      <c r="B138" s="3">
        <v>-2.1999999999999999E-2</v>
      </c>
      <c r="C138" s="3" t="str">
        <f t="shared" si="4"/>
        <v>B Luminal</v>
      </c>
      <c r="E138" t="e">
        <f>(#REF!)*#REF!</f>
        <v>#REF!</v>
      </c>
      <c r="F138" t="e">
        <f t="shared" si="3"/>
        <v>#REF!</v>
      </c>
    </row>
    <row r="139" spans="1:6" x14ac:dyDescent="0.2">
      <c r="A139" s="1" t="s">
        <v>139</v>
      </c>
      <c r="B139" s="3">
        <v>-9.1999999999999998E-2</v>
      </c>
      <c r="C139" s="3" t="str">
        <f t="shared" si="4"/>
        <v>B Luminal</v>
      </c>
      <c r="E139" t="e">
        <f>(#REF!)*#REF!</f>
        <v>#REF!</v>
      </c>
      <c r="F139" t="e">
        <f t="shared" si="3"/>
        <v>#REF!</v>
      </c>
    </row>
    <row r="140" spans="1:6" x14ac:dyDescent="0.2">
      <c r="A140" s="1" t="s">
        <v>140</v>
      </c>
      <c r="B140" s="3">
        <v>0.17899999999999999</v>
      </c>
      <c r="C140" s="3" t="str">
        <f t="shared" si="4"/>
        <v>A Luminal</v>
      </c>
      <c r="E140" t="e">
        <f>(#REF!)*#REF!</f>
        <v>#REF!</v>
      </c>
      <c r="F140" t="e">
        <f t="shared" si="3"/>
        <v>#REF!</v>
      </c>
    </row>
    <row r="141" spans="1:6" x14ac:dyDescent="0.2">
      <c r="A141" s="1" t="s">
        <v>141</v>
      </c>
      <c r="B141" s="3">
        <v>0.13900000000000001</v>
      </c>
      <c r="C141" s="3" t="str">
        <f t="shared" si="4"/>
        <v>A Luminal</v>
      </c>
      <c r="E141" t="e">
        <f>(#REF!)*#REF!</f>
        <v>#REF!</v>
      </c>
      <c r="F141" t="e">
        <f t="shared" si="3"/>
        <v>#REF!</v>
      </c>
    </row>
    <row r="142" spans="1:6" x14ac:dyDescent="0.2">
      <c r="A142" s="1" t="s">
        <v>142</v>
      </c>
      <c r="B142" s="3">
        <v>-0.20200000000000001</v>
      </c>
      <c r="C142" s="3" t="str">
        <f t="shared" si="4"/>
        <v>B Luminal</v>
      </c>
      <c r="E142" t="e">
        <f>(#REF!)*#REF!</f>
        <v>#REF!</v>
      </c>
      <c r="F142" t="e">
        <f t="shared" si="3"/>
        <v>#REF!</v>
      </c>
    </row>
    <row r="143" spans="1:6" x14ac:dyDescent="0.2">
      <c r="A143" s="1" t="s">
        <v>143</v>
      </c>
      <c r="B143" s="3">
        <v>6.2E-2</v>
      </c>
      <c r="C143" s="3" t="str">
        <f t="shared" si="4"/>
        <v>A Luminal</v>
      </c>
      <c r="E143" t="e">
        <f>(#REF!)*#REF!</f>
        <v>#REF!</v>
      </c>
      <c r="F143" t="e">
        <f t="shared" si="3"/>
        <v>#REF!</v>
      </c>
    </row>
    <row r="144" spans="1:6" x14ac:dyDescent="0.2">
      <c r="A144" s="1" t="s">
        <v>144</v>
      </c>
      <c r="B144" s="3">
        <v>-0.187</v>
      </c>
      <c r="C144" s="3" t="str">
        <f t="shared" si="4"/>
        <v>B Luminal</v>
      </c>
      <c r="E144" t="e">
        <f>(#REF!)*#REF!</f>
        <v>#REF!</v>
      </c>
      <c r="F144" t="e">
        <f t="shared" si="3"/>
        <v>#REF!</v>
      </c>
    </row>
    <row r="145" spans="1:6" x14ac:dyDescent="0.2">
      <c r="A145" s="1" t="s">
        <v>145</v>
      </c>
      <c r="B145" s="3">
        <v>5.0000000000000001E-3</v>
      </c>
      <c r="C145" s="3" t="str">
        <f t="shared" si="4"/>
        <v>A Luminal</v>
      </c>
      <c r="E145" t="e">
        <f>(#REF!)*#REF!</f>
        <v>#REF!</v>
      </c>
      <c r="F145" t="e">
        <f t="shared" si="3"/>
        <v>#REF!</v>
      </c>
    </row>
    <row r="146" spans="1:6" x14ac:dyDescent="0.2">
      <c r="A146" s="1" t="s">
        <v>146</v>
      </c>
      <c r="B146" s="3" t="s">
        <v>91</v>
      </c>
      <c r="C146" s="3" t="s">
        <v>69</v>
      </c>
      <c r="D146" t="s">
        <v>316</v>
      </c>
      <c r="E146" t="e">
        <f>(#REF!)*#REF!</f>
        <v>#REF!</v>
      </c>
      <c r="F146" t="e">
        <f t="shared" si="3"/>
        <v>#REF!</v>
      </c>
    </row>
    <row r="147" spans="1:6" x14ac:dyDescent="0.2">
      <c r="A147" s="6" t="s">
        <v>146</v>
      </c>
      <c r="B147" s="3" t="s">
        <v>244</v>
      </c>
      <c r="C147" s="3"/>
      <c r="D147" t="s">
        <v>317</v>
      </c>
      <c r="E147" t="e">
        <f>(#REF!)*#REF!</f>
        <v>#REF!</v>
      </c>
      <c r="F147" t="e">
        <f t="shared" ref="F147" si="5">200/E147</f>
        <v>#REF!</v>
      </c>
    </row>
    <row r="148" spans="1:6" x14ac:dyDescent="0.2">
      <c r="A148" s="1" t="s">
        <v>147</v>
      </c>
      <c r="B148" s="3">
        <v>-0.191</v>
      </c>
      <c r="C148" s="3" t="str">
        <f t="shared" ref="C148:C154" si="6">IF(B148&gt;D$133,"A Luminal","B Luminal")</f>
        <v>B Luminal</v>
      </c>
      <c r="E148" t="e">
        <f>(#REF!)*#REF!</f>
        <v>#REF!</v>
      </c>
      <c r="F148" t="e">
        <f t="shared" si="3"/>
        <v>#REF!</v>
      </c>
    </row>
    <row r="149" spans="1:6" x14ac:dyDescent="0.2">
      <c r="A149" s="1" t="s">
        <v>148</v>
      </c>
      <c r="B149" s="3">
        <v>7.2999999999999995E-2</v>
      </c>
      <c r="C149" s="3" t="str">
        <f t="shared" si="6"/>
        <v>A Luminal</v>
      </c>
      <c r="E149" t="e">
        <f>(#REF!)*#REF!</f>
        <v>#REF!</v>
      </c>
      <c r="F149" t="e">
        <f t="shared" si="3"/>
        <v>#REF!</v>
      </c>
    </row>
    <row r="150" spans="1:6" x14ac:dyDescent="0.2">
      <c r="A150" s="1" t="s">
        <v>149</v>
      </c>
      <c r="B150" s="3">
        <v>-3.5999999999999997E-2</v>
      </c>
      <c r="C150" s="3" t="str">
        <f t="shared" si="6"/>
        <v>B Luminal</v>
      </c>
      <c r="E150" t="e">
        <f>(#REF!)*#REF!</f>
        <v>#REF!</v>
      </c>
      <c r="F150" t="e">
        <f t="shared" si="3"/>
        <v>#REF!</v>
      </c>
    </row>
    <row r="151" spans="1:6" x14ac:dyDescent="0.2">
      <c r="A151" s="1" t="s">
        <v>150</v>
      </c>
      <c r="B151" s="3">
        <v>0.26600000000000001</v>
      </c>
      <c r="C151" s="3" t="str">
        <f t="shared" si="6"/>
        <v>A Luminal</v>
      </c>
      <c r="E151" t="e">
        <f>(#REF!)*#REF!</f>
        <v>#REF!</v>
      </c>
      <c r="F151" t="e">
        <f t="shared" si="3"/>
        <v>#REF!</v>
      </c>
    </row>
    <row r="152" spans="1:6" x14ac:dyDescent="0.2">
      <c r="A152" s="1" t="s">
        <v>151</v>
      </c>
      <c r="B152" s="3">
        <v>-0.28100000000000003</v>
      </c>
      <c r="C152" s="3" t="str">
        <f t="shared" si="6"/>
        <v>B Luminal</v>
      </c>
      <c r="E152" t="e">
        <f>(#REF!)*#REF!</f>
        <v>#REF!</v>
      </c>
      <c r="F152" t="e">
        <f t="shared" si="3"/>
        <v>#REF!</v>
      </c>
    </row>
    <row r="153" spans="1:6" x14ac:dyDescent="0.2">
      <c r="A153" s="1" t="s">
        <v>152</v>
      </c>
      <c r="B153" s="3">
        <v>2.1000000000000001E-2</v>
      </c>
      <c r="C153" s="3" t="str">
        <f t="shared" si="6"/>
        <v>A Luminal</v>
      </c>
      <c r="E153" t="e">
        <f>(#REF!)*#REF!</f>
        <v>#REF!</v>
      </c>
      <c r="F153" t="e">
        <f t="shared" si="3"/>
        <v>#REF!</v>
      </c>
    </row>
    <row r="154" spans="1:6" x14ac:dyDescent="0.2">
      <c r="A154" s="1" t="s">
        <v>153</v>
      </c>
      <c r="B154" s="3">
        <v>-3.9E-2</v>
      </c>
      <c r="C154" s="3" t="str">
        <f t="shared" si="6"/>
        <v>B Luminal</v>
      </c>
      <c r="E154" t="e">
        <f>(#REF!)*#REF!</f>
        <v>#REF!</v>
      </c>
      <c r="F154" t="e">
        <f t="shared" si="3"/>
        <v>#REF!</v>
      </c>
    </row>
    <row r="155" spans="1:6" x14ac:dyDescent="0.2">
      <c r="A155" s="1" t="s">
        <v>154</v>
      </c>
      <c r="B155" s="3">
        <v>-0.152</v>
      </c>
      <c r="C155" s="3" t="s">
        <v>12</v>
      </c>
      <c r="E155" t="e">
        <f>(#REF!)*#REF!</f>
        <v>#REF!</v>
      </c>
      <c r="F155" t="e">
        <f t="shared" si="3"/>
        <v>#REF!</v>
      </c>
    </row>
    <row r="156" spans="1:6" x14ac:dyDescent="0.2">
      <c r="A156" s="1" t="s">
        <v>155</v>
      </c>
      <c r="B156" s="3">
        <v>3.7999999999999999E-2</v>
      </c>
      <c r="C156" s="3" t="s">
        <v>13</v>
      </c>
      <c r="E156" t="e">
        <f>(#REF!)*#REF!</f>
        <v>#REF!</v>
      </c>
      <c r="F156" t="e">
        <f t="shared" si="3"/>
        <v>#REF!</v>
      </c>
    </row>
    <row r="157" spans="1:6" x14ac:dyDescent="0.2">
      <c r="A157" s="1" t="s">
        <v>156</v>
      </c>
      <c r="B157" s="3">
        <v>-0.48499999999999999</v>
      </c>
      <c r="C157" s="3" t="s">
        <v>12</v>
      </c>
      <c r="E157" t="e">
        <f>(#REF!)*#REF!</f>
        <v>#REF!</v>
      </c>
      <c r="F157" t="e">
        <f t="shared" si="3"/>
        <v>#REF!</v>
      </c>
    </row>
    <row r="158" spans="1:6" x14ac:dyDescent="0.2">
      <c r="A158" s="1" t="s">
        <v>157</v>
      </c>
      <c r="B158" s="3">
        <v>8.9999999999999993E-3</v>
      </c>
      <c r="C158" s="3" t="s">
        <v>13</v>
      </c>
      <c r="E158" t="e">
        <f>(#REF!)*#REF!</f>
        <v>#REF!</v>
      </c>
      <c r="F158" t="e">
        <f t="shared" si="3"/>
        <v>#REF!</v>
      </c>
    </row>
    <row r="159" spans="1:6" x14ac:dyDescent="0.2">
      <c r="A159" s="1" t="s">
        <v>158</v>
      </c>
      <c r="B159" s="3">
        <v>3.6999999999999998E-2</v>
      </c>
      <c r="C159" s="3" t="s">
        <v>13</v>
      </c>
      <c r="E159" t="e">
        <f>(#REF!)*#REF!</f>
        <v>#REF!</v>
      </c>
      <c r="F159" t="e">
        <f t="shared" si="3"/>
        <v>#REF!</v>
      </c>
    </row>
    <row r="160" spans="1:6" x14ac:dyDescent="0.2">
      <c r="A160" s="1" t="s">
        <v>159</v>
      </c>
      <c r="B160" s="3">
        <v>-9.7000000000000003E-2</v>
      </c>
      <c r="C160" s="3" t="s">
        <v>12</v>
      </c>
      <c r="E160" t="e">
        <f>(#REF!)*#REF!</f>
        <v>#REF!</v>
      </c>
      <c r="F160" t="e">
        <f t="shared" si="3"/>
        <v>#REF!</v>
      </c>
    </row>
    <row r="161" spans="1:7" x14ac:dyDescent="0.2">
      <c r="A161" s="1" t="s">
        <v>160</v>
      </c>
      <c r="B161" s="3">
        <v>-2.5999999999999999E-2</v>
      </c>
      <c r="C161" s="3" t="s">
        <v>12</v>
      </c>
      <c r="E161" t="e">
        <f>(#REF!)*#REF!</f>
        <v>#REF!</v>
      </c>
      <c r="F161" t="e">
        <f t="shared" si="3"/>
        <v>#REF!</v>
      </c>
    </row>
    <row r="162" spans="1:7" x14ac:dyDescent="0.2">
      <c r="A162" s="1" t="s">
        <v>161</v>
      </c>
      <c r="B162" s="3">
        <v>0.107</v>
      </c>
      <c r="C162" s="3" t="s">
        <v>13</v>
      </c>
      <c r="E162" t="e">
        <f>(#REF!)*#REF!</f>
        <v>#REF!</v>
      </c>
      <c r="F162" t="e">
        <f t="shared" si="3"/>
        <v>#REF!</v>
      </c>
    </row>
    <row r="163" spans="1:7" x14ac:dyDescent="0.2">
      <c r="A163" s="1" t="s">
        <v>162</v>
      </c>
      <c r="B163" s="3">
        <v>-0.112</v>
      </c>
      <c r="C163" s="3" t="s">
        <v>12</v>
      </c>
      <c r="E163" t="e">
        <f>(#REF!)*#REF!</f>
        <v>#REF!</v>
      </c>
      <c r="F163" t="e">
        <f t="shared" si="3"/>
        <v>#REF!</v>
      </c>
    </row>
    <row r="164" spans="1:7" x14ac:dyDescent="0.2">
      <c r="A164" s="1" t="s">
        <v>163</v>
      </c>
      <c r="B164" s="3" t="s">
        <v>91</v>
      </c>
      <c r="C164" s="3" t="s">
        <v>304</v>
      </c>
      <c r="D164" t="s">
        <v>316</v>
      </c>
      <c r="E164" t="e">
        <f>(#REF!)*#REF!</f>
        <v>#REF!</v>
      </c>
      <c r="F164" t="e">
        <f t="shared" si="3"/>
        <v>#REF!</v>
      </c>
    </row>
    <row r="165" spans="1:7" x14ac:dyDescent="0.2">
      <c r="A165" s="6" t="s">
        <v>173</v>
      </c>
      <c r="B165" s="3">
        <v>0.26200000000000001</v>
      </c>
      <c r="C165" s="3" t="s">
        <v>13</v>
      </c>
      <c r="D165" t="s">
        <v>334</v>
      </c>
      <c r="E165" t="e">
        <f>(#REF!)*#REF!</f>
        <v>#REF!</v>
      </c>
      <c r="F165" t="e">
        <f t="shared" si="3"/>
        <v>#REF!</v>
      </c>
      <c r="G165" t="s">
        <v>55</v>
      </c>
    </row>
    <row r="166" spans="1:7" x14ac:dyDescent="0.2">
      <c r="A166" s="1" t="s">
        <v>164</v>
      </c>
      <c r="B166" s="3" t="s">
        <v>91</v>
      </c>
      <c r="C166" s="3" t="s">
        <v>69</v>
      </c>
      <c r="D166" t="s">
        <v>316</v>
      </c>
      <c r="E166" t="e">
        <f>(#REF!)*#REF!</f>
        <v>#REF!</v>
      </c>
      <c r="F166" t="e">
        <f t="shared" si="3"/>
        <v>#REF!</v>
      </c>
    </row>
    <row r="167" spans="1:7" x14ac:dyDescent="0.2">
      <c r="A167" s="1" t="s">
        <v>164</v>
      </c>
      <c r="B167" s="3" t="s">
        <v>91</v>
      </c>
      <c r="C167" s="3" t="s">
        <v>69</v>
      </c>
      <c r="D167" t="s">
        <v>334</v>
      </c>
      <c r="E167" t="e">
        <f>(#REF!)*#REF!</f>
        <v>#REF!</v>
      </c>
      <c r="F167" t="e">
        <f t="shared" si="3"/>
        <v>#REF!</v>
      </c>
      <c r="G167" t="s">
        <v>55</v>
      </c>
    </row>
    <row r="168" spans="1:7" x14ac:dyDescent="0.2">
      <c r="A168" s="1"/>
      <c r="B168" s="3">
        <v>0.09</v>
      </c>
      <c r="C168" s="3" t="s">
        <v>13</v>
      </c>
    </row>
    <row r="169" spans="1:7" x14ac:dyDescent="0.2">
      <c r="A169" s="1" t="s">
        <v>165</v>
      </c>
      <c r="B169" s="3">
        <v>-0.27600000000000002</v>
      </c>
      <c r="C169" s="3" t="s">
        <v>12</v>
      </c>
      <c r="E169" t="e">
        <f>(#REF!)*#REF!</f>
        <v>#REF!</v>
      </c>
      <c r="F169" t="e">
        <f t="shared" si="3"/>
        <v>#REF!</v>
      </c>
    </row>
    <row r="170" spans="1:7" x14ac:dyDescent="0.2">
      <c r="A170" s="1" t="s">
        <v>166</v>
      </c>
      <c r="B170" s="3">
        <v>-0.73599999999999999</v>
      </c>
      <c r="C170" s="3" t="s">
        <v>12</v>
      </c>
      <c r="E170" t="e">
        <f>(#REF!)*#REF!</f>
        <v>#REF!</v>
      </c>
      <c r="F170" t="e">
        <f t="shared" si="3"/>
        <v>#REF!</v>
      </c>
    </row>
    <row r="171" spans="1:7" x14ac:dyDescent="0.2">
      <c r="A171" s="1" t="s">
        <v>167</v>
      </c>
      <c r="B171" s="3" t="s">
        <v>91</v>
      </c>
      <c r="C171" s="3" t="s">
        <v>69</v>
      </c>
      <c r="D171" t="s">
        <v>335</v>
      </c>
      <c r="E171" t="e">
        <f>(#REF!)*#REF!</f>
        <v>#REF!</v>
      </c>
      <c r="F171" t="e">
        <f t="shared" si="3"/>
        <v>#REF!</v>
      </c>
    </row>
    <row r="172" spans="1:7" x14ac:dyDescent="0.2">
      <c r="A172" s="6" t="s">
        <v>167</v>
      </c>
      <c r="B172" s="3" t="s">
        <v>91</v>
      </c>
      <c r="C172" s="3" t="s">
        <v>69</v>
      </c>
      <c r="D172" t="s">
        <v>335</v>
      </c>
      <c r="E172" t="e">
        <f>(#REF!)*#REF!</f>
        <v>#REF!</v>
      </c>
      <c r="F172" t="e">
        <f t="shared" si="3"/>
        <v>#REF!</v>
      </c>
      <c r="G172" t="s">
        <v>55</v>
      </c>
    </row>
    <row r="173" spans="1:7" x14ac:dyDescent="0.2">
      <c r="A173" s="6" t="s">
        <v>167</v>
      </c>
      <c r="B173" s="3" t="s">
        <v>244</v>
      </c>
      <c r="C173" s="3"/>
      <c r="E173" t="e">
        <f>(#REF!)*#REF!</f>
        <v>#REF!</v>
      </c>
      <c r="F173" t="e">
        <f t="shared" ref="F173" si="7">200/E173</f>
        <v>#REF!</v>
      </c>
      <c r="G173" t="s">
        <v>55</v>
      </c>
    </row>
    <row r="174" spans="1:7" x14ac:dyDescent="0.2">
      <c r="A174" s="1" t="s">
        <v>168</v>
      </c>
      <c r="B174" s="3">
        <v>0.22600000000000001</v>
      </c>
      <c r="C174" s="3" t="s">
        <v>13</v>
      </c>
      <c r="E174" t="e">
        <f>(#REF!)*#REF!</f>
        <v>#REF!</v>
      </c>
      <c r="F174" t="e">
        <f t="shared" si="3"/>
        <v>#REF!</v>
      </c>
    </row>
    <row r="175" spans="1:7" x14ac:dyDescent="0.2">
      <c r="A175" s="1" t="s">
        <v>169</v>
      </c>
      <c r="B175" s="3">
        <v>0.28799999999999998</v>
      </c>
      <c r="C175" s="3" t="s">
        <v>13</v>
      </c>
      <c r="E175" t="e">
        <f>(#REF!)*#REF!</f>
        <v>#REF!</v>
      </c>
      <c r="F175" t="e">
        <f t="shared" si="3"/>
        <v>#REF!</v>
      </c>
    </row>
    <row r="176" spans="1:7" x14ac:dyDescent="0.2">
      <c r="A176" s="1" t="s">
        <v>170</v>
      </c>
      <c r="B176" s="3">
        <v>-0.14799999999999999</v>
      </c>
      <c r="C176" s="3" t="s">
        <v>12</v>
      </c>
      <c r="E176" t="e">
        <f>(#REF!)*#REF!</f>
        <v>#REF!</v>
      </c>
      <c r="F176" t="e">
        <f t="shared" si="3"/>
        <v>#REF!</v>
      </c>
    </row>
    <row r="177" spans="1:7" x14ac:dyDescent="0.2">
      <c r="A177" s="1" t="s">
        <v>171</v>
      </c>
      <c r="B177" s="3">
        <v>-0.41</v>
      </c>
      <c r="C177" s="3" t="s">
        <v>12</v>
      </c>
      <c r="E177" t="e">
        <f>(#REF!)*#REF!</f>
        <v>#REF!</v>
      </c>
      <c r="F177" t="e">
        <f t="shared" si="3"/>
        <v>#REF!</v>
      </c>
    </row>
    <row r="178" spans="1:7" x14ac:dyDescent="0.2">
      <c r="A178" s="1" t="s">
        <v>172</v>
      </c>
      <c r="B178" s="3">
        <v>0.42</v>
      </c>
      <c r="C178" s="3" t="s">
        <v>13</v>
      </c>
      <c r="E178" t="e">
        <f>(#REF!)*#REF!</f>
        <v>#REF!</v>
      </c>
      <c r="F178" t="e">
        <f t="shared" si="3"/>
        <v>#REF!</v>
      </c>
    </row>
    <row r="179" spans="1:7" x14ac:dyDescent="0.2">
      <c r="A179" s="1" t="s">
        <v>174</v>
      </c>
      <c r="B179" s="3">
        <v>0.14199999999999999</v>
      </c>
      <c r="C179" s="3" t="s">
        <v>13</v>
      </c>
      <c r="E179" t="e">
        <f>(#REF!)*#REF!</f>
        <v>#REF!</v>
      </c>
      <c r="F179" t="e">
        <f t="shared" si="3"/>
        <v>#REF!</v>
      </c>
    </row>
    <row r="180" spans="1:7" x14ac:dyDescent="0.2">
      <c r="A180" s="1" t="s">
        <v>175</v>
      </c>
      <c r="B180" s="3">
        <v>-0.49</v>
      </c>
      <c r="C180" s="3" t="s">
        <v>12</v>
      </c>
      <c r="E180" t="e">
        <f>(#REF!)*#REF!</f>
        <v>#REF!</v>
      </c>
      <c r="F180" t="e">
        <f t="shared" si="3"/>
        <v>#REF!</v>
      </c>
    </row>
    <row r="181" spans="1:7" x14ac:dyDescent="0.2">
      <c r="A181" s="1" t="s">
        <v>176</v>
      </c>
      <c r="B181" s="3">
        <v>0.218</v>
      </c>
      <c r="C181" s="3" t="s">
        <v>13</v>
      </c>
      <c r="E181" t="e">
        <f>(#REF!)*#REF!</f>
        <v>#REF!</v>
      </c>
      <c r="F181" t="e">
        <f t="shared" si="3"/>
        <v>#REF!</v>
      </c>
    </row>
    <row r="182" spans="1:7" x14ac:dyDescent="0.2">
      <c r="A182" s="1" t="s">
        <v>177</v>
      </c>
      <c r="B182" s="3" t="s">
        <v>91</v>
      </c>
      <c r="C182" s="3" t="s">
        <v>304</v>
      </c>
      <c r="D182" t="s">
        <v>316</v>
      </c>
      <c r="E182" t="e">
        <f>(#REF!)*#REF!</f>
        <v>#REF!</v>
      </c>
      <c r="F182" t="e">
        <f t="shared" si="3"/>
        <v>#REF!</v>
      </c>
    </row>
    <row r="183" spans="1:7" x14ac:dyDescent="0.2">
      <c r="A183" s="6" t="s">
        <v>177</v>
      </c>
      <c r="B183" s="3">
        <v>-0.70099999999999996</v>
      </c>
      <c r="C183" s="3" t="s">
        <v>12</v>
      </c>
      <c r="D183" t="s">
        <v>334</v>
      </c>
      <c r="E183" t="e">
        <f>(#REF!)*#REF!</f>
        <v>#REF!</v>
      </c>
      <c r="F183" t="e">
        <f t="shared" ref="F183:F209" si="8">200/E183</f>
        <v>#REF!</v>
      </c>
      <c r="G183" t="s">
        <v>55</v>
      </c>
    </row>
    <row r="184" spans="1:7" x14ac:dyDescent="0.2">
      <c r="A184" s="1" t="s">
        <v>178</v>
      </c>
      <c r="B184" s="3">
        <v>-4.4999999999999998E-2</v>
      </c>
      <c r="C184" s="3" t="s">
        <v>12</v>
      </c>
      <c r="E184" t="e">
        <f>(#REF!)*#REF!</f>
        <v>#REF!</v>
      </c>
      <c r="F184" t="e">
        <f t="shared" si="8"/>
        <v>#REF!</v>
      </c>
    </row>
    <row r="185" spans="1:7" x14ac:dyDescent="0.2">
      <c r="A185" s="1" t="s">
        <v>179</v>
      </c>
      <c r="B185" s="3">
        <v>-0.32400000000000001</v>
      </c>
      <c r="C185" s="3" t="s">
        <v>12</v>
      </c>
      <c r="E185" t="e">
        <f>(#REF!)*#REF!</f>
        <v>#REF!</v>
      </c>
      <c r="F185" t="e">
        <f t="shared" si="8"/>
        <v>#REF!</v>
      </c>
    </row>
    <row r="186" spans="1:7" x14ac:dyDescent="0.2">
      <c r="A186" s="1" t="s">
        <v>180</v>
      </c>
      <c r="B186" s="3">
        <v>0.20699999999999999</v>
      </c>
      <c r="C186" s="3" t="s">
        <v>13</v>
      </c>
      <c r="E186" t="e">
        <f>(#REF!)*#REF!</f>
        <v>#REF!</v>
      </c>
      <c r="F186" t="e">
        <f t="shared" si="8"/>
        <v>#REF!</v>
      </c>
    </row>
    <row r="187" spans="1:7" x14ac:dyDescent="0.2">
      <c r="A187" s="1" t="s">
        <v>181</v>
      </c>
      <c r="B187" s="3">
        <v>-0.35299999999999998</v>
      </c>
      <c r="C187" s="3" t="s">
        <v>12</v>
      </c>
      <c r="E187" t="e">
        <f>(#REF!)*#REF!</f>
        <v>#REF!</v>
      </c>
      <c r="F187" t="e">
        <f t="shared" si="8"/>
        <v>#REF!</v>
      </c>
      <c r="G187" t="s">
        <v>185</v>
      </c>
    </row>
    <row r="188" spans="1:7" x14ac:dyDescent="0.2">
      <c r="A188" s="1" t="s">
        <v>182</v>
      </c>
      <c r="B188" s="3">
        <v>1.4999999999999999E-2</v>
      </c>
      <c r="C188" s="3" t="s">
        <v>13</v>
      </c>
      <c r="E188" t="e">
        <f>(#REF!)*#REF!</f>
        <v>#REF!</v>
      </c>
      <c r="F188" t="e">
        <f t="shared" si="8"/>
        <v>#REF!</v>
      </c>
    </row>
    <row r="189" spans="1:7" x14ac:dyDescent="0.2">
      <c r="A189" s="7" t="s">
        <v>183</v>
      </c>
      <c r="B189" s="3">
        <v>-0.94399999999999995</v>
      </c>
      <c r="C189" s="3" t="s">
        <v>12</v>
      </c>
      <c r="E189" t="e">
        <f>(#REF!)*#REF!</f>
        <v>#REF!</v>
      </c>
      <c r="F189" t="e">
        <f t="shared" si="8"/>
        <v>#REF!</v>
      </c>
    </row>
    <row r="190" spans="1:7" x14ac:dyDescent="0.2">
      <c r="A190" s="7" t="s">
        <v>184</v>
      </c>
      <c r="B190" s="3">
        <v>-3.9E-2</v>
      </c>
      <c r="C190" s="3" t="s">
        <v>12</v>
      </c>
      <c r="E190" t="e">
        <f>(#REF!)*#REF!</f>
        <v>#REF!</v>
      </c>
      <c r="F190" t="e">
        <f t="shared" si="8"/>
        <v>#REF!</v>
      </c>
    </row>
    <row r="191" spans="1:7" x14ac:dyDescent="0.2">
      <c r="A191" s="1" t="s">
        <v>186</v>
      </c>
      <c r="B191" s="3">
        <v>-0.53500000000000003</v>
      </c>
      <c r="C191" s="3" t="s">
        <v>12</v>
      </c>
      <c r="E191" t="e">
        <f>(#REF!)*#REF!</f>
        <v>#REF!</v>
      </c>
      <c r="F191" t="e">
        <f t="shared" si="8"/>
        <v>#REF!</v>
      </c>
    </row>
    <row r="192" spans="1:7" x14ac:dyDescent="0.2">
      <c r="A192" s="1" t="s">
        <v>187</v>
      </c>
      <c r="B192" s="3">
        <v>0.223</v>
      </c>
      <c r="C192" s="3" t="s">
        <v>13</v>
      </c>
      <c r="E192" t="e">
        <f>(#REF!)*#REF!</f>
        <v>#REF!</v>
      </c>
      <c r="F192" t="e">
        <f t="shared" si="8"/>
        <v>#REF!</v>
      </c>
    </row>
    <row r="193" spans="1:7" x14ac:dyDescent="0.2">
      <c r="A193" s="1" t="s">
        <v>188</v>
      </c>
      <c r="B193" s="3">
        <v>-0.187</v>
      </c>
      <c r="C193" s="3" t="s">
        <v>12</v>
      </c>
      <c r="E193" t="e">
        <f>(#REF!)*#REF!</f>
        <v>#REF!</v>
      </c>
      <c r="F193" t="e">
        <f t="shared" si="8"/>
        <v>#REF!</v>
      </c>
    </row>
    <row r="194" spans="1:7" x14ac:dyDescent="0.2">
      <c r="A194" s="1" t="s">
        <v>189</v>
      </c>
      <c r="B194" s="3">
        <v>-0.34499999999999997</v>
      </c>
      <c r="C194" s="3" t="s">
        <v>12</v>
      </c>
      <c r="E194" t="e">
        <f>(#REF!)*#REF!</f>
        <v>#REF!</v>
      </c>
      <c r="F194" t="e">
        <f t="shared" si="8"/>
        <v>#REF!</v>
      </c>
    </row>
    <row r="195" spans="1:7" x14ac:dyDescent="0.2">
      <c r="A195" s="1" t="s">
        <v>190</v>
      </c>
      <c r="B195" s="3">
        <v>0.34</v>
      </c>
      <c r="C195" s="3" t="s">
        <v>13</v>
      </c>
      <c r="E195" t="e">
        <f>(#REF!)*#REF!</f>
        <v>#REF!</v>
      </c>
      <c r="F195" t="e">
        <f t="shared" si="8"/>
        <v>#REF!</v>
      </c>
    </row>
    <row r="196" spans="1:7" x14ac:dyDescent="0.2">
      <c r="A196" s="1" t="s">
        <v>191</v>
      </c>
      <c r="B196" s="3">
        <v>-0.19900000000000001</v>
      </c>
      <c r="C196" s="3" t="s">
        <v>12</v>
      </c>
      <c r="E196" t="e">
        <f>(#REF!)*#REF!</f>
        <v>#REF!</v>
      </c>
      <c r="F196" t="e">
        <f t="shared" si="8"/>
        <v>#REF!</v>
      </c>
    </row>
    <row r="197" spans="1:7" x14ac:dyDescent="0.2">
      <c r="A197" s="1" t="s">
        <v>192</v>
      </c>
      <c r="B197" s="3">
        <v>0.11799999999999999</v>
      </c>
      <c r="C197" s="3" t="s">
        <v>13</v>
      </c>
      <c r="E197" t="e">
        <f>(#REF!)*#REF!</f>
        <v>#REF!</v>
      </c>
      <c r="F197" t="e">
        <f t="shared" si="8"/>
        <v>#REF!</v>
      </c>
    </row>
    <row r="198" spans="1:7" x14ac:dyDescent="0.2">
      <c r="A198" s="1" t="s">
        <v>194</v>
      </c>
      <c r="B198" s="3">
        <v>2.3E-2</v>
      </c>
      <c r="C198" s="3" t="s">
        <v>13</v>
      </c>
      <c r="E198" t="e">
        <f>(#REF!)*#REF!</f>
        <v>#REF!</v>
      </c>
      <c r="F198" t="e">
        <f t="shared" si="8"/>
        <v>#REF!</v>
      </c>
    </row>
    <row r="199" spans="1:7" x14ac:dyDescent="0.2">
      <c r="A199" s="1" t="s">
        <v>195</v>
      </c>
      <c r="B199" s="3" t="s">
        <v>91</v>
      </c>
      <c r="C199" s="3" t="s">
        <v>304</v>
      </c>
      <c r="E199" t="e">
        <f>(#REF!)*#REF!</f>
        <v>#REF!</v>
      </c>
      <c r="F199" t="e">
        <f>200/E199</f>
        <v>#REF!</v>
      </c>
      <c r="G199" t="s">
        <v>198</v>
      </c>
    </row>
    <row r="200" spans="1:7" x14ac:dyDescent="0.2">
      <c r="A200" s="6" t="s">
        <v>208</v>
      </c>
      <c r="B200" s="3">
        <v>-0.23799999999999999</v>
      </c>
      <c r="C200" s="3" t="s">
        <v>12</v>
      </c>
      <c r="E200" t="e">
        <f>(#REF!)*#REF!</f>
        <v>#REF!</v>
      </c>
      <c r="F200" t="e">
        <f>200/E200</f>
        <v>#REF!</v>
      </c>
    </row>
    <row r="201" spans="1:7" x14ac:dyDescent="0.2">
      <c r="A201" s="1" t="s">
        <v>196</v>
      </c>
      <c r="B201" s="3">
        <v>-0.27</v>
      </c>
      <c r="C201" s="3" t="s">
        <v>12</v>
      </c>
      <c r="E201" t="e">
        <f>(#REF!)*#REF!</f>
        <v>#REF!</v>
      </c>
      <c r="F201" t="e">
        <f t="shared" si="8"/>
        <v>#REF!</v>
      </c>
    </row>
    <row r="202" spans="1:7" x14ac:dyDescent="0.2">
      <c r="A202" s="1" t="s">
        <v>197</v>
      </c>
      <c r="B202" s="3">
        <v>-0.03</v>
      </c>
      <c r="C202" s="3" t="s">
        <v>12</v>
      </c>
      <c r="E202" t="e">
        <f>(#REF!)*#REF!</f>
        <v>#REF!</v>
      </c>
      <c r="F202" t="e">
        <f>200/E202</f>
        <v>#REF!</v>
      </c>
    </row>
    <row r="203" spans="1:7" x14ac:dyDescent="0.2">
      <c r="A203" s="1" t="s">
        <v>199</v>
      </c>
      <c r="B203" s="3">
        <v>-0.59799999999999998</v>
      </c>
      <c r="C203" s="3" t="s">
        <v>12</v>
      </c>
      <c r="E203" t="e">
        <f>(#REF!)*#REF!</f>
        <v>#REF!</v>
      </c>
      <c r="F203" t="e">
        <f>200/E203</f>
        <v>#REF!</v>
      </c>
    </row>
    <row r="204" spans="1:7" x14ac:dyDescent="0.2">
      <c r="A204" s="1" t="s">
        <v>200</v>
      </c>
      <c r="B204" s="3">
        <v>-0.14899999999999999</v>
      </c>
      <c r="C204" s="3" t="s">
        <v>12</v>
      </c>
      <c r="E204" s="10" t="e">
        <f>(#REF!)*#REF!</f>
        <v>#REF!</v>
      </c>
      <c r="F204" t="e">
        <f t="shared" si="8"/>
        <v>#REF!</v>
      </c>
    </row>
    <row r="205" spans="1:7" x14ac:dyDescent="0.2">
      <c r="A205" s="1" t="s">
        <v>201</v>
      </c>
      <c r="B205" s="3">
        <v>0.183</v>
      </c>
      <c r="C205" s="3" t="s">
        <v>13</v>
      </c>
      <c r="E205" s="10" t="e">
        <f>(#REF!)*#REF!</f>
        <v>#REF!</v>
      </c>
      <c r="F205" t="e">
        <f t="shared" si="8"/>
        <v>#REF!</v>
      </c>
    </row>
    <row r="206" spans="1:7" x14ac:dyDescent="0.2">
      <c r="A206" s="1" t="s">
        <v>202</v>
      </c>
      <c r="B206" s="3">
        <v>-0.14199999999999999</v>
      </c>
      <c r="C206" s="3" t="s">
        <v>12</v>
      </c>
      <c r="E206" s="10" t="e">
        <f>(#REF!)*#REF!</f>
        <v>#REF!</v>
      </c>
      <c r="F206" t="e">
        <f t="shared" si="8"/>
        <v>#REF!</v>
      </c>
    </row>
    <row r="207" spans="1:7" x14ac:dyDescent="0.2">
      <c r="A207" s="1" t="s">
        <v>203</v>
      </c>
      <c r="B207" s="3">
        <v>3.5000000000000003E-2</v>
      </c>
      <c r="C207" s="3" t="s">
        <v>13</v>
      </c>
      <c r="E207" s="10" t="e">
        <f>(#REF!)*#REF!</f>
        <v>#REF!</v>
      </c>
      <c r="F207" t="e">
        <f t="shared" si="8"/>
        <v>#REF!</v>
      </c>
    </row>
    <row r="208" spans="1:7" x14ac:dyDescent="0.2">
      <c r="A208" s="1" t="s">
        <v>205</v>
      </c>
      <c r="B208" s="3">
        <v>8.2000000000000003E-2</v>
      </c>
      <c r="C208" s="3" t="s">
        <v>13</v>
      </c>
      <c r="E208" s="10" t="e">
        <f>(#REF!)*#REF!</f>
        <v>#REF!</v>
      </c>
      <c r="F208" t="e">
        <f t="shared" si="8"/>
        <v>#REF!</v>
      </c>
    </row>
    <row r="209" spans="1:6" x14ac:dyDescent="0.2">
      <c r="A209" s="1" t="s">
        <v>206</v>
      </c>
      <c r="B209" s="3">
        <v>6.7000000000000004E-2</v>
      </c>
      <c r="C209" s="3" t="s">
        <v>13</v>
      </c>
      <c r="E209" s="10" t="e">
        <f>(#REF!)*#REF!</f>
        <v>#REF!</v>
      </c>
      <c r="F209" t="e">
        <f t="shared" si="8"/>
        <v>#REF!</v>
      </c>
    </row>
    <row r="210" spans="1:6" x14ac:dyDescent="0.2">
      <c r="A210" s="1" t="s">
        <v>207</v>
      </c>
      <c r="B210" s="3" t="s">
        <v>91</v>
      </c>
      <c r="C210" s="3" t="s">
        <v>12</v>
      </c>
      <c r="D210" t="s">
        <v>318</v>
      </c>
      <c r="E210" s="10" t="e">
        <f>(#REF!)*#REF!</f>
        <v>#REF!</v>
      </c>
      <c r="F210" t="e">
        <f>200/E210</f>
        <v>#REF!</v>
      </c>
    </row>
    <row r="211" spans="1:6" x14ac:dyDescent="0.2">
      <c r="A211" s="1"/>
      <c r="B211" s="3">
        <v>-0.30199999999999999</v>
      </c>
      <c r="C211" s="3" t="s">
        <v>12</v>
      </c>
      <c r="D211" t="s">
        <v>363</v>
      </c>
    </row>
    <row r="212" spans="1:6" x14ac:dyDescent="0.2">
      <c r="A212" s="1" t="s">
        <v>209</v>
      </c>
      <c r="B212" s="3">
        <v>0.16600000000000001</v>
      </c>
      <c r="C212" s="3" t="s">
        <v>13</v>
      </c>
      <c r="D212" t="s">
        <v>363</v>
      </c>
    </row>
    <row r="213" spans="1:6" x14ac:dyDescent="0.2">
      <c r="A213" s="1" t="s">
        <v>210</v>
      </c>
      <c r="B213" s="3">
        <v>0.40500000000000003</v>
      </c>
      <c r="C213" s="3" t="s">
        <v>13</v>
      </c>
      <c r="D213" t="s">
        <v>363</v>
      </c>
    </row>
    <row r="214" spans="1:6" x14ac:dyDescent="0.2">
      <c r="A214" s="1" t="s">
        <v>211</v>
      </c>
      <c r="B214" s="3">
        <v>0.16800000000000001</v>
      </c>
      <c r="C214" s="3" t="s">
        <v>13</v>
      </c>
      <c r="D214" t="s">
        <v>363</v>
      </c>
    </row>
    <row r="215" spans="1:6" x14ac:dyDescent="0.2">
      <c r="A215" s="1" t="s">
        <v>212</v>
      </c>
      <c r="B215" s="3">
        <v>0.112</v>
      </c>
      <c r="C215" s="3" t="s">
        <v>13</v>
      </c>
      <c r="D215" t="s">
        <v>363</v>
      </c>
    </row>
    <row r="216" spans="1:6" x14ac:dyDescent="0.2">
      <c r="A216" s="1" t="s">
        <v>213</v>
      </c>
      <c r="B216" s="3">
        <v>-0.33900000000000002</v>
      </c>
      <c r="C216" s="3" t="s">
        <v>12</v>
      </c>
      <c r="D216" t="s">
        <v>363</v>
      </c>
    </row>
    <row r="217" spans="1:6" x14ac:dyDescent="0.2">
      <c r="A217" s="1" t="s">
        <v>51</v>
      </c>
      <c r="B217" s="3">
        <v>-0.309</v>
      </c>
      <c r="C217" s="3" t="s">
        <v>12</v>
      </c>
      <c r="D217" t="s">
        <v>363</v>
      </c>
    </row>
    <row r="218" spans="1:6" x14ac:dyDescent="0.2">
      <c r="A218" s="1" t="s">
        <v>214</v>
      </c>
      <c r="B218" s="3">
        <v>6.4000000000000001E-2</v>
      </c>
      <c r="C218" s="3" t="s">
        <v>13</v>
      </c>
      <c r="D218" t="s">
        <v>363</v>
      </c>
    </row>
    <row r="219" spans="1:6" x14ac:dyDescent="0.2">
      <c r="A219" s="1" t="s">
        <v>215</v>
      </c>
      <c r="B219" s="3">
        <v>0.245</v>
      </c>
      <c r="C219" s="3" t="s">
        <v>13</v>
      </c>
      <c r="D219" t="s">
        <v>363</v>
      </c>
    </row>
    <row r="220" spans="1:6" x14ac:dyDescent="0.2">
      <c r="A220" s="1" t="s">
        <v>216</v>
      </c>
      <c r="B220" s="3">
        <v>0.60899999999999999</v>
      </c>
      <c r="C220" s="3" t="s">
        <v>13</v>
      </c>
      <c r="D220" t="s">
        <v>363</v>
      </c>
    </row>
    <row r="221" spans="1:6" x14ac:dyDescent="0.2">
      <c r="A221" s="1" t="s">
        <v>217</v>
      </c>
      <c r="B221" s="3">
        <v>0.14499999999999999</v>
      </c>
      <c r="C221" s="3" t="s">
        <v>13</v>
      </c>
      <c r="D221" t="s">
        <v>363</v>
      </c>
    </row>
    <row r="222" spans="1:6" x14ac:dyDescent="0.2">
      <c r="A222" s="1" t="s">
        <v>218</v>
      </c>
      <c r="B222" s="3">
        <v>-0.22600000000000001</v>
      </c>
      <c r="C222" s="3" t="s">
        <v>12</v>
      </c>
      <c r="D222" t="s">
        <v>363</v>
      </c>
    </row>
    <row r="223" spans="1:6" x14ac:dyDescent="0.2">
      <c r="A223" s="1" t="s">
        <v>219</v>
      </c>
      <c r="B223" s="3">
        <v>0.26100000000000001</v>
      </c>
      <c r="C223" s="3" t="s">
        <v>13</v>
      </c>
      <c r="D223" t="s">
        <v>363</v>
      </c>
    </row>
    <row r="224" spans="1:6" x14ac:dyDescent="0.2">
      <c r="A224" s="1" t="s">
        <v>220</v>
      </c>
      <c r="B224" s="3">
        <v>0.14000000000000001</v>
      </c>
      <c r="C224" s="3" t="s">
        <v>13</v>
      </c>
      <c r="E224" t="e">
        <f>(#REF!)*#REF!</f>
        <v>#REF!</v>
      </c>
      <c r="F224" t="e">
        <f t="shared" ref="F224" si="9">200/E224</f>
        <v>#REF!</v>
      </c>
    </row>
    <row r="225" spans="1:6" x14ac:dyDescent="0.2">
      <c r="A225" s="1" t="s">
        <v>221</v>
      </c>
      <c r="B225" s="3">
        <v>7.6999999999999999E-2</v>
      </c>
      <c r="C225" s="3" t="s">
        <v>13</v>
      </c>
      <c r="E225" t="e">
        <f>(#REF!)*#REF!</f>
        <v>#REF!</v>
      </c>
      <c r="F225" t="e">
        <f t="shared" ref="F225:F308" si="10">200/E225</f>
        <v>#REF!</v>
      </c>
    </row>
    <row r="226" spans="1:6" x14ac:dyDescent="0.2">
      <c r="A226" s="1" t="s">
        <v>222</v>
      </c>
      <c r="B226" s="3">
        <v>-0.72</v>
      </c>
      <c r="C226" s="3" t="s">
        <v>12</v>
      </c>
      <c r="E226" t="e">
        <f>(#REF!)*#REF!</f>
        <v>#REF!</v>
      </c>
      <c r="F226" t="e">
        <f t="shared" si="10"/>
        <v>#REF!</v>
      </c>
    </row>
    <row r="227" spans="1:6" x14ac:dyDescent="0.2">
      <c r="A227" s="1" t="s">
        <v>223</v>
      </c>
      <c r="B227" s="3">
        <v>0.223</v>
      </c>
      <c r="C227" s="3" t="s">
        <v>13</v>
      </c>
      <c r="E227" t="e">
        <f>(#REF!)*#REF!</f>
        <v>#REF!</v>
      </c>
      <c r="F227" t="e">
        <f t="shared" si="10"/>
        <v>#REF!</v>
      </c>
    </row>
    <row r="228" spans="1:6" x14ac:dyDescent="0.2">
      <c r="A228" s="1" t="s">
        <v>224</v>
      </c>
      <c r="B228" s="3">
        <v>-8.6999999999999994E-2</v>
      </c>
      <c r="C228" s="3" t="s">
        <v>12</v>
      </c>
      <c r="E228" t="e">
        <f>(#REF!)*#REF!</f>
        <v>#REF!</v>
      </c>
      <c r="F228" t="e">
        <f t="shared" si="10"/>
        <v>#REF!</v>
      </c>
    </row>
    <row r="229" spans="1:6" x14ac:dyDescent="0.2">
      <c r="A229" s="1" t="s">
        <v>225</v>
      </c>
      <c r="B229" s="3">
        <v>7.0000000000000007E-2</v>
      </c>
      <c r="C229" s="3" t="s">
        <v>13</v>
      </c>
      <c r="E229" t="e">
        <f>(#REF!)*#REF!</f>
        <v>#REF!</v>
      </c>
      <c r="F229" t="e">
        <f t="shared" si="10"/>
        <v>#REF!</v>
      </c>
    </row>
    <row r="230" spans="1:6" x14ac:dyDescent="0.2">
      <c r="A230" s="1" t="s">
        <v>226</v>
      </c>
      <c r="B230" s="3">
        <v>-0.187</v>
      </c>
      <c r="C230" s="3" t="s">
        <v>12</v>
      </c>
      <c r="E230" t="e">
        <f>(#REF!)*#REF!</f>
        <v>#REF!</v>
      </c>
      <c r="F230" t="e">
        <f t="shared" si="10"/>
        <v>#REF!</v>
      </c>
    </row>
    <row r="231" spans="1:6" x14ac:dyDescent="0.2">
      <c r="A231" s="1" t="s">
        <v>227</v>
      </c>
      <c r="B231" s="3">
        <v>-0.307</v>
      </c>
      <c r="C231" s="3" t="s">
        <v>12</v>
      </c>
      <c r="E231" t="e">
        <f>(#REF!)*#REF!</f>
        <v>#REF!</v>
      </c>
      <c r="F231" t="e">
        <f t="shared" si="10"/>
        <v>#REF!</v>
      </c>
    </row>
    <row r="232" spans="1:6" x14ac:dyDescent="0.2">
      <c r="A232" s="1" t="s">
        <v>228</v>
      </c>
      <c r="B232" s="3">
        <v>-0.32500000000000001</v>
      </c>
      <c r="C232" s="3" t="s">
        <v>12</v>
      </c>
      <c r="E232" t="e">
        <f>(#REF!)*#REF!</f>
        <v>#REF!</v>
      </c>
      <c r="F232" t="e">
        <f t="shared" si="10"/>
        <v>#REF!</v>
      </c>
    </row>
    <row r="233" spans="1:6" x14ac:dyDescent="0.2">
      <c r="A233" s="1" t="s">
        <v>229</v>
      </c>
      <c r="B233" s="3">
        <v>5.0999999999999997E-2</v>
      </c>
      <c r="C233" s="3" t="s">
        <v>13</v>
      </c>
      <c r="E233" t="e">
        <f>(#REF!)*#REF!</f>
        <v>#REF!</v>
      </c>
      <c r="F233" t="e">
        <f t="shared" si="10"/>
        <v>#REF!</v>
      </c>
    </row>
    <row r="234" spans="1:6" x14ac:dyDescent="0.2">
      <c r="A234" s="1" t="s">
        <v>230</v>
      </c>
      <c r="B234" s="3" t="s">
        <v>91</v>
      </c>
      <c r="C234" s="3" t="s">
        <v>304</v>
      </c>
      <c r="D234" t="s">
        <v>319</v>
      </c>
      <c r="E234" t="e">
        <f>(#REF!)*#REF!</f>
        <v>#REF!</v>
      </c>
      <c r="F234" t="e">
        <f t="shared" si="10"/>
        <v>#REF!</v>
      </c>
    </row>
    <row r="235" spans="1:6" x14ac:dyDescent="0.2">
      <c r="A235" s="6" t="s">
        <v>230</v>
      </c>
      <c r="B235" s="4">
        <v>0.14899999999999999</v>
      </c>
      <c r="C235" s="3" t="s">
        <v>13</v>
      </c>
      <c r="E235" t="e">
        <f>(#REF!)*#REF!</f>
        <v>#REF!</v>
      </c>
      <c r="F235" t="e">
        <f t="shared" ref="F235" si="11">200/E235</f>
        <v>#REF!</v>
      </c>
    </row>
    <row r="236" spans="1:6" x14ac:dyDescent="0.2">
      <c r="A236" s="1" t="s">
        <v>231</v>
      </c>
      <c r="B236" s="3">
        <v>-0.44600000000000001</v>
      </c>
      <c r="C236" s="3" t="s">
        <v>12</v>
      </c>
      <c r="E236" t="e">
        <f>(#REF!)*#REF!</f>
        <v>#REF!</v>
      </c>
      <c r="F236" t="e">
        <f t="shared" si="10"/>
        <v>#REF!</v>
      </c>
    </row>
    <row r="237" spans="1:6" x14ac:dyDescent="0.2">
      <c r="A237" s="1" t="s">
        <v>232</v>
      </c>
      <c r="B237" s="3">
        <v>0.11799999999999999</v>
      </c>
      <c r="C237" s="3" t="s">
        <v>13</v>
      </c>
      <c r="E237" t="e">
        <f>(#REF!)*#REF!</f>
        <v>#REF!</v>
      </c>
      <c r="F237" t="e">
        <f t="shared" si="10"/>
        <v>#REF!</v>
      </c>
    </row>
    <row r="238" spans="1:6" x14ac:dyDescent="0.2">
      <c r="A238" s="1" t="s">
        <v>233</v>
      </c>
      <c r="B238" s="3">
        <v>0.34399999999999997</v>
      </c>
      <c r="C238" s="3" t="s">
        <v>13</v>
      </c>
      <c r="E238" t="e">
        <f>(#REF!)*#REF!</f>
        <v>#REF!</v>
      </c>
      <c r="F238" t="e">
        <f t="shared" si="10"/>
        <v>#REF!</v>
      </c>
    </row>
    <row r="239" spans="1:6" x14ac:dyDescent="0.2">
      <c r="A239" s="1" t="s">
        <v>234</v>
      </c>
      <c r="B239" s="3">
        <v>-0.376</v>
      </c>
      <c r="C239" s="3" t="s">
        <v>12</v>
      </c>
      <c r="E239" t="e">
        <f>(#REF!)*#REF!</f>
        <v>#REF!</v>
      </c>
      <c r="F239" t="e">
        <f t="shared" si="10"/>
        <v>#REF!</v>
      </c>
    </row>
    <row r="240" spans="1:6" x14ac:dyDescent="0.2">
      <c r="A240" s="1" t="s">
        <v>235</v>
      </c>
      <c r="B240" s="3">
        <v>-0.12</v>
      </c>
      <c r="C240" s="3" t="s">
        <v>12</v>
      </c>
      <c r="E240" t="e">
        <f>(#REF!)*#REF!</f>
        <v>#REF!</v>
      </c>
      <c r="F240" t="e">
        <f t="shared" si="10"/>
        <v>#REF!</v>
      </c>
    </row>
    <row r="241" spans="1:6" x14ac:dyDescent="0.2">
      <c r="A241" s="1" t="s">
        <v>236</v>
      </c>
      <c r="B241" s="3">
        <v>-7.4999999999999997E-2</v>
      </c>
      <c r="C241" s="3" t="s">
        <v>12</v>
      </c>
      <c r="E241" t="e">
        <f>(#REF!)*#REF!</f>
        <v>#REF!</v>
      </c>
      <c r="F241" t="e">
        <f t="shared" si="10"/>
        <v>#REF!</v>
      </c>
    </row>
    <row r="242" spans="1:6" x14ac:dyDescent="0.2">
      <c r="A242" s="1" t="s">
        <v>237</v>
      </c>
      <c r="B242" s="3">
        <v>-0.22600000000000001</v>
      </c>
      <c r="C242" s="3" t="s">
        <v>12</v>
      </c>
      <c r="E242" t="e">
        <f>(#REF!)*#REF!</f>
        <v>#REF!</v>
      </c>
      <c r="F242" t="e">
        <f t="shared" si="10"/>
        <v>#REF!</v>
      </c>
    </row>
    <row r="243" spans="1:6" x14ac:dyDescent="0.2">
      <c r="A243" s="1" t="s">
        <v>238</v>
      </c>
      <c r="B243" s="3">
        <v>-0.504</v>
      </c>
      <c r="C243" s="3" t="s">
        <v>12</v>
      </c>
      <c r="E243" t="e">
        <f>(#REF!)*#REF!</f>
        <v>#REF!</v>
      </c>
      <c r="F243" t="e">
        <f t="shared" si="10"/>
        <v>#REF!</v>
      </c>
    </row>
    <row r="244" spans="1:6" x14ac:dyDescent="0.2">
      <c r="A244" s="1" t="s">
        <v>239</v>
      </c>
      <c r="B244" s="3">
        <v>-9.4E-2</v>
      </c>
      <c r="C244" s="3" t="s">
        <v>12</v>
      </c>
      <c r="E244" t="e">
        <f>(#REF!)*#REF!</f>
        <v>#REF!</v>
      </c>
      <c r="F244" t="e">
        <f t="shared" si="10"/>
        <v>#REF!</v>
      </c>
    </row>
    <row r="245" spans="1:6" x14ac:dyDescent="0.2">
      <c r="A245" s="1" t="s">
        <v>240</v>
      </c>
      <c r="B245" s="3">
        <v>0.23699999999999999</v>
      </c>
      <c r="C245" s="3" t="s">
        <v>13</v>
      </c>
      <c r="E245" t="e">
        <f>(#REF!)*#REF!</f>
        <v>#REF!</v>
      </c>
      <c r="F245" t="e">
        <f t="shared" si="10"/>
        <v>#REF!</v>
      </c>
    </row>
    <row r="246" spans="1:6" x14ac:dyDescent="0.2">
      <c r="A246" s="1" t="s">
        <v>241</v>
      </c>
      <c r="B246" s="3">
        <v>-0.28100000000000003</v>
      </c>
      <c r="C246" s="3" t="s">
        <v>12</v>
      </c>
      <c r="E246" t="e">
        <f>(#REF!)*#REF!</f>
        <v>#REF!</v>
      </c>
      <c r="F246" t="e">
        <f t="shared" si="10"/>
        <v>#REF!</v>
      </c>
    </row>
    <row r="247" spans="1:6" x14ac:dyDescent="0.2">
      <c r="A247" s="1" t="s">
        <v>242</v>
      </c>
      <c r="B247" s="3">
        <v>0.247</v>
      </c>
      <c r="C247" s="3" t="s">
        <v>13</v>
      </c>
      <c r="E247" t="e">
        <f>(#REF!)*#REF!</f>
        <v>#REF!</v>
      </c>
      <c r="F247" t="e">
        <f t="shared" si="10"/>
        <v>#REF!</v>
      </c>
    </row>
    <row r="248" spans="1:6" x14ac:dyDescent="0.2">
      <c r="A248" s="1" t="s">
        <v>245</v>
      </c>
      <c r="B248" s="3">
        <v>0.34699999999999998</v>
      </c>
      <c r="C248" s="3" t="s">
        <v>13</v>
      </c>
      <c r="E248" t="e">
        <f>(#REF!)*#REF!</f>
        <v>#REF!</v>
      </c>
      <c r="F248" t="e">
        <f t="shared" si="10"/>
        <v>#REF!</v>
      </c>
    </row>
    <row r="249" spans="1:6" x14ac:dyDescent="0.2">
      <c r="A249" s="1" t="s">
        <v>246</v>
      </c>
      <c r="B249" s="3">
        <v>1E-3</v>
      </c>
      <c r="C249" s="3" t="s">
        <v>13</v>
      </c>
      <c r="E249" t="e">
        <f>(#REF!)*#REF!</f>
        <v>#REF!</v>
      </c>
      <c r="F249" t="e">
        <f t="shared" si="10"/>
        <v>#REF!</v>
      </c>
    </row>
    <row r="250" spans="1:6" x14ac:dyDescent="0.2">
      <c r="A250" s="1" t="s">
        <v>247</v>
      </c>
      <c r="B250" s="3">
        <v>4.3999999999999997E-2</v>
      </c>
      <c r="C250" s="3" t="s">
        <v>13</v>
      </c>
      <c r="E250" t="e">
        <f>(#REF!)*#REF!</f>
        <v>#REF!</v>
      </c>
      <c r="F250" t="e">
        <f t="shared" si="10"/>
        <v>#REF!</v>
      </c>
    </row>
    <row r="251" spans="1:6" x14ac:dyDescent="0.2">
      <c r="A251" s="1" t="s">
        <v>248</v>
      </c>
      <c r="B251" s="3">
        <v>0.11899999999999999</v>
      </c>
      <c r="C251" s="3" t="s">
        <v>13</v>
      </c>
      <c r="E251" t="e">
        <f>(#REF!)*#REF!</f>
        <v>#REF!</v>
      </c>
      <c r="F251" t="e">
        <f t="shared" si="10"/>
        <v>#REF!</v>
      </c>
    </row>
    <row r="252" spans="1:6" x14ac:dyDescent="0.2">
      <c r="A252" s="1" t="s">
        <v>249</v>
      </c>
      <c r="B252" s="3">
        <v>2.4E-2</v>
      </c>
      <c r="C252" s="3" t="s">
        <v>13</v>
      </c>
      <c r="E252" t="e">
        <f>(#REF!)*#REF!</f>
        <v>#REF!</v>
      </c>
      <c r="F252" t="e">
        <f t="shared" si="10"/>
        <v>#REF!</v>
      </c>
    </row>
    <row r="253" spans="1:6" x14ac:dyDescent="0.2">
      <c r="A253" s="1" t="s">
        <v>250</v>
      </c>
      <c r="B253" s="3">
        <v>-0.372</v>
      </c>
      <c r="C253" s="3" t="s">
        <v>12</v>
      </c>
      <c r="E253" t="e">
        <f>(#REF!)*#REF!</f>
        <v>#REF!</v>
      </c>
      <c r="F253" t="e">
        <f t="shared" si="10"/>
        <v>#REF!</v>
      </c>
    </row>
    <row r="254" spans="1:6" x14ac:dyDescent="0.2">
      <c r="A254" s="1" t="s">
        <v>251</v>
      </c>
      <c r="B254" s="3">
        <v>0.04</v>
      </c>
      <c r="C254" s="3" t="s">
        <v>13</v>
      </c>
      <c r="E254" t="e">
        <f>(#REF!)*#REF!</f>
        <v>#REF!</v>
      </c>
      <c r="F254" t="e">
        <f t="shared" si="10"/>
        <v>#REF!</v>
      </c>
    </row>
    <row r="255" spans="1:6" x14ac:dyDescent="0.2">
      <c r="A255" s="1" t="s">
        <v>49</v>
      </c>
      <c r="B255" s="3">
        <v>-0.115</v>
      </c>
      <c r="C255" s="3" t="s">
        <v>12</v>
      </c>
      <c r="E255" t="e">
        <f>(#REF!)*#REF!</f>
        <v>#REF!</v>
      </c>
      <c r="F255" t="e">
        <f t="shared" si="10"/>
        <v>#REF!</v>
      </c>
    </row>
    <row r="256" spans="1:6" x14ac:dyDescent="0.2">
      <c r="A256" s="1" t="s">
        <v>81</v>
      </c>
      <c r="B256" s="3">
        <v>0.247</v>
      </c>
      <c r="C256" s="3" t="s">
        <v>13</v>
      </c>
      <c r="E256" t="e">
        <f>(#REF!)*#REF!</f>
        <v>#REF!</v>
      </c>
      <c r="F256" t="e">
        <f t="shared" si="10"/>
        <v>#REF!</v>
      </c>
    </row>
    <row r="257" spans="1:6" x14ac:dyDescent="0.2">
      <c r="A257" s="1" t="s">
        <v>252</v>
      </c>
      <c r="B257" s="3">
        <v>0.29299999999999998</v>
      </c>
      <c r="C257" s="3" t="s">
        <v>13</v>
      </c>
      <c r="E257" t="e">
        <f>(#REF!)*#REF!</f>
        <v>#REF!</v>
      </c>
      <c r="F257" t="e">
        <f t="shared" si="10"/>
        <v>#REF!</v>
      </c>
    </row>
    <row r="258" spans="1:6" x14ac:dyDescent="0.2">
      <c r="A258" s="1" t="s">
        <v>253</v>
      </c>
      <c r="B258" s="3">
        <v>-0.28000000000000003</v>
      </c>
      <c r="C258" s="3" t="s">
        <v>12</v>
      </c>
      <c r="E258" t="e">
        <f>(#REF!)*#REF!</f>
        <v>#REF!</v>
      </c>
      <c r="F258" t="e">
        <f t="shared" si="10"/>
        <v>#REF!</v>
      </c>
    </row>
    <row r="259" spans="1:6" x14ac:dyDescent="0.2">
      <c r="A259" s="1" t="s">
        <v>254</v>
      </c>
      <c r="B259" s="3">
        <v>-8.5999999999999993E-2</v>
      </c>
      <c r="C259" s="3" t="s">
        <v>12</v>
      </c>
      <c r="E259" t="e">
        <f>(#REF!)*#REF!</f>
        <v>#REF!</v>
      </c>
      <c r="F259" t="e">
        <f t="shared" si="10"/>
        <v>#REF!</v>
      </c>
    </row>
    <row r="260" spans="1:6" x14ac:dyDescent="0.2">
      <c r="A260" s="1" t="s">
        <v>255</v>
      </c>
      <c r="B260" s="3">
        <v>0.126</v>
      </c>
      <c r="C260" s="3" t="s">
        <v>13</v>
      </c>
      <c r="E260" t="e">
        <f>(#REF!)*#REF!</f>
        <v>#REF!</v>
      </c>
      <c r="F260" t="e">
        <f t="shared" si="10"/>
        <v>#REF!</v>
      </c>
    </row>
    <row r="261" spans="1:6" x14ac:dyDescent="0.2">
      <c r="A261" s="1" t="s">
        <v>256</v>
      </c>
      <c r="B261" s="3">
        <v>0.28100000000000003</v>
      </c>
      <c r="C261" s="3" t="s">
        <v>13</v>
      </c>
      <c r="E261" t="e">
        <f>(#REF!)*#REF!</f>
        <v>#REF!</v>
      </c>
      <c r="F261" t="e">
        <f t="shared" si="10"/>
        <v>#REF!</v>
      </c>
    </row>
    <row r="262" spans="1:6" x14ac:dyDescent="0.2">
      <c r="A262" s="1" t="s">
        <v>257</v>
      </c>
      <c r="B262" s="3">
        <v>-0.14899999999999999</v>
      </c>
      <c r="C262" s="3" t="s">
        <v>12</v>
      </c>
      <c r="E262" t="e">
        <f>(#REF!)*#REF!</f>
        <v>#REF!</v>
      </c>
      <c r="F262" t="e">
        <f t="shared" si="10"/>
        <v>#REF!</v>
      </c>
    </row>
    <row r="263" spans="1:6" x14ac:dyDescent="0.2">
      <c r="A263" s="1" t="s">
        <v>258</v>
      </c>
      <c r="B263" s="3" t="s">
        <v>91</v>
      </c>
      <c r="C263" s="3" t="s">
        <v>304</v>
      </c>
      <c r="D263" t="s">
        <v>336</v>
      </c>
      <c r="E263" t="e">
        <f>(#REF!)*#REF!</f>
        <v>#REF!</v>
      </c>
      <c r="F263" t="e">
        <f t="shared" si="10"/>
        <v>#REF!</v>
      </c>
    </row>
    <row r="264" spans="1:6" x14ac:dyDescent="0.2">
      <c r="A264" s="6" t="s">
        <v>258</v>
      </c>
      <c r="B264" s="3">
        <v>0.21199999999999999</v>
      </c>
      <c r="C264" s="3" t="s">
        <v>13</v>
      </c>
      <c r="D264" t="s">
        <v>320</v>
      </c>
      <c r="E264" t="e">
        <f>(#REF!)*#REF!</f>
        <v>#REF!</v>
      </c>
      <c r="F264" t="e">
        <f t="shared" si="10"/>
        <v>#REF!</v>
      </c>
    </row>
    <row r="265" spans="1:6" x14ac:dyDescent="0.2">
      <c r="A265" s="1" t="s">
        <v>259</v>
      </c>
      <c r="B265" s="3">
        <v>-0.153</v>
      </c>
      <c r="C265" s="3" t="s">
        <v>12</v>
      </c>
      <c r="E265" t="e">
        <f>(#REF!)*#REF!</f>
        <v>#REF!</v>
      </c>
      <c r="F265" t="e">
        <f t="shared" si="10"/>
        <v>#REF!</v>
      </c>
    </row>
    <row r="266" spans="1:6" x14ac:dyDescent="0.2">
      <c r="A266" s="1" t="s">
        <v>260</v>
      </c>
      <c r="B266" s="3">
        <v>-0.152</v>
      </c>
      <c r="C266" s="3" t="s">
        <v>12</v>
      </c>
      <c r="E266" t="e">
        <f>(#REF!)*#REF!</f>
        <v>#REF!</v>
      </c>
      <c r="F266" t="e">
        <f t="shared" si="10"/>
        <v>#REF!</v>
      </c>
    </row>
    <row r="267" spans="1:6" x14ac:dyDescent="0.2">
      <c r="A267" s="1" t="s">
        <v>261</v>
      </c>
      <c r="B267" s="3">
        <v>-0.109</v>
      </c>
      <c r="C267" s="3" t="s">
        <v>12</v>
      </c>
      <c r="E267" t="e">
        <f>(#REF!)*#REF!</f>
        <v>#REF!</v>
      </c>
      <c r="F267" t="e">
        <f t="shared" si="10"/>
        <v>#REF!</v>
      </c>
    </row>
    <row r="268" spans="1:6" x14ac:dyDescent="0.2">
      <c r="A268" s="1" t="s">
        <v>262</v>
      </c>
      <c r="B268" s="3">
        <v>7.0000000000000001E-3</v>
      </c>
      <c r="C268" s="3" t="s">
        <v>13</v>
      </c>
      <c r="E268" t="e">
        <f>(#REF!)*#REF!</f>
        <v>#REF!</v>
      </c>
      <c r="F268" t="e">
        <f t="shared" si="10"/>
        <v>#REF!</v>
      </c>
    </row>
    <row r="269" spans="1:6" x14ac:dyDescent="0.2">
      <c r="A269" s="1" t="s">
        <v>263</v>
      </c>
      <c r="B269" s="3">
        <v>0.16400000000000001</v>
      </c>
      <c r="C269" s="3" t="s">
        <v>13</v>
      </c>
      <c r="E269" t="e">
        <f>(#REF!)*#REF!</f>
        <v>#REF!</v>
      </c>
      <c r="F269" t="e">
        <f t="shared" si="10"/>
        <v>#REF!</v>
      </c>
    </row>
    <row r="270" spans="1:6" x14ac:dyDescent="0.2">
      <c r="A270" s="1" t="s">
        <v>264</v>
      </c>
      <c r="B270" s="3">
        <v>0.26700000000000002</v>
      </c>
      <c r="C270" s="3" t="s">
        <v>13</v>
      </c>
      <c r="E270" t="e">
        <f>(#REF!)*#REF!</f>
        <v>#REF!</v>
      </c>
      <c r="F270" t="e">
        <f t="shared" si="10"/>
        <v>#REF!</v>
      </c>
    </row>
    <row r="271" spans="1:6" x14ac:dyDescent="0.2">
      <c r="A271" s="1" t="s">
        <v>265</v>
      </c>
      <c r="B271" s="3">
        <v>2.3E-2</v>
      </c>
      <c r="C271" s="3" t="s">
        <v>13</v>
      </c>
      <c r="E271" t="e">
        <f>(#REF!)*#REF!</f>
        <v>#REF!</v>
      </c>
      <c r="F271" t="e">
        <f t="shared" si="10"/>
        <v>#REF!</v>
      </c>
    </row>
    <row r="272" spans="1:6" x14ac:dyDescent="0.2">
      <c r="A272" s="1" t="s">
        <v>266</v>
      </c>
      <c r="B272" s="3">
        <v>-0.129</v>
      </c>
      <c r="C272" s="3" t="s">
        <v>12</v>
      </c>
      <c r="E272" t="e">
        <f>(#REF!)*#REF!</f>
        <v>#REF!</v>
      </c>
      <c r="F272" t="e">
        <f t="shared" si="10"/>
        <v>#REF!</v>
      </c>
    </row>
    <row r="273" spans="1:6" x14ac:dyDescent="0.2">
      <c r="A273" s="1" t="s">
        <v>267</v>
      </c>
      <c r="B273" s="3">
        <v>0.16300000000000001</v>
      </c>
      <c r="C273" s="3" t="s">
        <v>13</v>
      </c>
      <c r="E273" t="e">
        <f>(#REF!)*#REF!</f>
        <v>#REF!</v>
      </c>
      <c r="F273" t="e">
        <f t="shared" si="10"/>
        <v>#REF!</v>
      </c>
    </row>
    <row r="274" spans="1:6" x14ac:dyDescent="0.2">
      <c r="A274" s="1" t="s">
        <v>268</v>
      </c>
      <c r="B274" s="3">
        <v>-0.124</v>
      </c>
      <c r="C274" s="3" t="s">
        <v>12</v>
      </c>
      <c r="E274" t="e">
        <f>(#REF!)*#REF!</f>
        <v>#REF!</v>
      </c>
      <c r="F274" t="e">
        <f t="shared" si="10"/>
        <v>#REF!</v>
      </c>
    </row>
    <row r="275" spans="1:6" x14ac:dyDescent="0.2">
      <c r="A275" s="1" t="s">
        <v>269</v>
      </c>
      <c r="B275" s="3">
        <v>0.16400000000000001</v>
      </c>
      <c r="C275" s="3" t="s">
        <v>13</v>
      </c>
      <c r="E275" t="e">
        <f>(#REF!)*#REF!</f>
        <v>#REF!</v>
      </c>
      <c r="F275" t="e">
        <f t="shared" si="10"/>
        <v>#REF!</v>
      </c>
    </row>
    <row r="276" spans="1:6" x14ac:dyDescent="0.2">
      <c r="A276" s="1" t="s">
        <v>270</v>
      </c>
      <c r="B276" s="3">
        <v>-0.186</v>
      </c>
      <c r="C276" s="3" t="s">
        <v>12</v>
      </c>
      <c r="E276" t="e">
        <f>(#REF!)*#REF!</f>
        <v>#REF!</v>
      </c>
      <c r="F276" t="e">
        <f t="shared" si="10"/>
        <v>#REF!</v>
      </c>
    </row>
    <row r="277" spans="1:6" x14ac:dyDescent="0.2">
      <c r="A277" s="1" t="s">
        <v>271</v>
      </c>
      <c r="B277" s="3">
        <v>-0.123</v>
      </c>
      <c r="C277" s="3" t="s">
        <v>12</v>
      </c>
      <c r="E277" t="e">
        <f>(#REF!)*#REF!</f>
        <v>#REF!</v>
      </c>
      <c r="F277" t="e">
        <f t="shared" si="10"/>
        <v>#REF!</v>
      </c>
    </row>
    <row r="278" spans="1:6" x14ac:dyDescent="0.2">
      <c r="A278" s="1" t="s">
        <v>272</v>
      </c>
      <c r="B278" s="3">
        <v>-0.20200000000000001</v>
      </c>
      <c r="C278" s="3" t="s">
        <v>12</v>
      </c>
      <c r="E278" t="e">
        <f>(#REF!)*#REF!</f>
        <v>#REF!</v>
      </c>
      <c r="F278" t="e">
        <f t="shared" si="10"/>
        <v>#REF!</v>
      </c>
    </row>
    <row r="279" spans="1:6" x14ac:dyDescent="0.2">
      <c r="A279" s="1" t="s">
        <v>273</v>
      </c>
      <c r="B279" s="3">
        <v>0.26600000000000001</v>
      </c>
      <c r="C279" s="3" t="s">
        <v>13</v>
      </c>
      <c r="E279" t="e">
        <f>(#REF!)*#REF!</f>
        <v>#REF!</v>
      </c>
      <c r="F279" t="e">
        <f t="shared" si="10"/>
        <v>#REF!</v>
      </c>
    </row>
    <row r="280" spans="1:6" x14ac:dyDescent="0.2">
      <c r="A280" s="1" t="s">
        <v>274</v>
      </c>
      <c r="B280" s="3">
        <v>0.122</v>
      </c>
      <c r="C280" s="3" t="s">
        <v>13</v>
      </c>
      <c r="D280" t="s">
        <v>363</v>
      </c>
      <c r="E280" t="e">
        <f>(#REF!)*#REF!</f>
        <v>#REF!</v>
      </c>
      <c r="F280" t="e">
        <f t="shared" si="10"/>
        <v>#REF!</v>
      </c>
    </row>
    <row r="281" spans="1:6" x14ac:dyDescent="0.2">
      <c r="A281" s="1" t="s">
        <v>275</v>
      </c>
      <c r="B281" s="3">
        <v>-0.71099999999999997</v>
      </c>
      <c r="C281" s="3" t="s">
        <v>12</v>
      </c>
      <c r="E281" t="e">
        <f>(#REF!)*#REF!</f>
        <v>#REF!</v>
      </c>
      <c r="F281" t="e">
        <f t="shared" si="10"/>
        <v>#REF!</v>
      </c>
    </row>
    <row r="282" spans="1:6" x14ac:dyDescent="0.2">
      <c r="A282" s="1" t="s">
        <v>276</v>
      </c>
      <c r="B282" s="3">
        <v>-0.71499999999999997</v>
      </c>
      <c r="C282" s="3" t="s">
        <v>12</v>
      </c>
      <c r="E282" t="e">
        <f>(#REF!)*#REF!</f>
        <v>#REF!</v>
      </c>
      <c r="F282" t="e">
        <f t="shared" si="10"/>
        <v>#REF!</v>
      </c>
    </row>
    <row r="283" spans="1:6" x14ac:dyDescent="0.2">
      <c r="A283" s="1" t="s">
        <v>277</v>
      </c>
      <c r="B283" s="3">
        <v>-5.0999999999999997E-2</v>
      </c>
      <c r="C283" s="3" t="s">
        <v>12</v>
      </c>
      <c r="E283" t="e">
        <f>(#REF!)*#REF!</f>
        <v>#REF!</v>
      </c>
      <c r="F283" t="e">
        <f t="shared" si="10"/>
        <v>#REF!</v>
      </c>
    </row>
    <row r="284" spans="1:6" x14ac:dyDescent="0.2">
      <c r="A284" s="1" t="s">
        <v>278</v>
      </c>
      <c r="B284" s="3">
        <v>-0.18</v>
      </c>
      <c r="C284" s="3" t="s">
        <v>12</v>
      </c>
      <c r="E284" t="e">
        <f>(#REF!)*#REF!</f>
        <v>#REF!</v>
      </c>
      <c r="F284" t="e">
        <f t="shared" si="10"/>
        <v>#REF!</v>
      </c>
    </row>
    <row r="285" spans="1:6" x14ac:dyDescent="0.2">
      <c r="A285" s="1" t="s">
        <v>279</v>
      </c>
      <c r="B285" s="3">
        <v>0.109</v>
      </c>
      <c r="C285" s="3" t="s">
        <v>13</v>
      </c>
      <c r="E285" t="e">
        <f>(#REF!)*#REF!</f>
        <v>#REF!</v>
      </c>
      <c r="F285" t="e">
        <f t="shared" si="10"/>
        <v>#REF!</v>
      </c>
    </row>
    <row r="286" spans="1:6" x14ac:dyDescent="0.2">
      <c r="A286" s="1" t="s">
        <v>280</v>
      </c>
      <c r="B286" s="3">
        <v>-0.44900000000000001</v>
      </c>
      <c r="C286" s="3" t="s">
        <v>12</v>
      </c>
      <c r="E286" t="e">
        <f>(#REF!)*#REF!</f>
        <v>#REF!</v>
      </c>
      <c r="F286" t="e">
        <f t="shared" si="10"/>
        <v>#REF!</v>
      </c>
    </row>
    <row r="287" spans="1:6" x14ac:dyDescent="0.2">
      <c r="A287" s="1" t="s">
        <v>338</v>
      </c>
      <c r="B287" s="3" t="s">
        <v>91</v>
      </c>
      <c r="C287" s="3" t="s">
        <v>69</v>
      </c>
      <c r="D287" t="s">
        <v>316</v>
      </c>
      <c r="E287" t="e">
        <f>(#REF!)*#REF!</f>
        <v>#REF!</v>
      </c>
      <c r="F287" t="e">
        <f t="shared" si="10"/>
        <v>#REF!</v>
      </c>
    </row>
    <row r="288" spans="1:6" x14ac:dyDescent="0.2">
      <c r="A288" s="1" t="s">
        <v>297</v>
      </c>
      <c r="B288" s="3" t="s">
        <v>315</v>
      </c>
      <c r="C288" s="3"/>
      <c r="D288" t="s">
        <v>337</v>
      </c>
      <c r="E288" t="e">
        <f>(#REF!)*#REF!</f>
        <v>#REF!</v>
      </c>
      <c r="F288" t="e">
        <f t="shared" ref="F288" si="12">200/E288</f>
        <v>#REF!</v>
      </c>
    </row>
    <row r="289" spans="1:7" x14ac:dyDescent="0.2">
      <c r="A289" s="1" t="s">
        <v>340</v>
      </c>
      <c r="B289" s="3">
        <v>-0.373</v>
      </c>
      <c r="C289" s="3" t="s">
        <v>12</v>
      </c>
      <c r="D289" t="s">
        <v>363</v>
      </c>
    </row>
    <row r="290" spans="1:7" x14ac:dyDescent="0.2">
      <c r="A290" s="1" t="s">
        <v>281</v>
      </c>
      <c r="B290" s="3">
        <v>-0.20599999999999999</v>
      </c>
      <c r="C290" s="3" t="s">
        <v>12</v>
      </c>
      <c r="E290" t="e">
        <f>(#REF!)*#REF!</f>
        <v>#REF!</v>
      </c>
      <c r="F290" t="e">
        <f t="shared" si="10"/>
        <v>#REF!</v>
      </c>
    </row>
    <row r="291" spans="1:7" x14ac:dyDescent="0.2">
      <c r="A291" s="1" t="s">
        <v>321</v>
      </c>
      <c r="B291" s="3">
        <v>2.1000000000000001E-2</v>
      </c>
      <c r="C291" s="3" t="s">
        <v>13</v>
      </c>
      <c r="E291" t="e">
        <f>(#REF!)*#REF!</f>
        <v>#REF!</v>
      </c>
      <c r="F291" t="e">
        <f t="shared" si="10"/>
        <v>#REF!</v>
      </c>
    </row>
    <row r="292" spans="1:7" x14ac:dyDescent="0.2">
      <c r="A292" s="1" t="s">
        <v>282</v>
      </c>
      <c r="B292" s="3">
        <v>1.2999999999999999E-2</v>
      </c>
      <c r="C292" s="3" t="s">
        <v>13</v>
      </c>
      <c r="E292" t="e">
        <f>(#REF!)*#REF!</f>
        <v>#REF!</v>
      </c>
      <c r="F292" t="e">
        <f t="shared" si="10"/>
        <v>#REF!</v>
      </c>
    </row>
    <row r="293" spans="1:7" x14ac:dyDescent="0.2">
      <c r="A293" s="1" t="s">
        <v>204</v>
      </c>
      <c r="B293" s="3">
        <v>-0.42599999999999999</v>
      </c>
      <c r="C293" s="3" t="s">
        <v>12</v>
      </c>
      <c r="E293" t="e">
        <f>(#REF!)*#REF!</f>
        <v>#REF!</v>
      </c>
      <c r="F293" t="e">
        <f t="shared" si="10"/>
        <v>#REF!</v>
      </c>
    </row>
    <row r="294" spans="1:7" x14ac:dyDescent="0.2">
      <c r="A294" s="1" t="s">
        <v>283</v>
      </c>
      <c r="B294" s="3">
        <v>-0.14299999999999999</v>
      </c>
      <c r="C294" s="3" t="s">
        <v>12</v>
      </c>
      <c r="E294" t="e">
        <f>(#REF!)*#REF!</f>
        <v>#REF!</v>
      </c>
      <c r="F294" t="e">
        <f t="shared" si="10"/>
        <v>#REF!</v>
      </c>
    </row>
    <row r="295" spans="1:7" x14ac:dyDescent="0.2">
      <c r="A295" s="1" t="s">
        <v>284</v>
      </c>
      <c r="B295" s="3" t="s">
        <v>91</v>
      </c>
      <c r="C295" s="3"/>
      <c r="D295" t="s">
        <v>339</v>
      </c>
      <c r="E295" t="e">
        <f>(#REF!)*#REF!</f>
        <v>#REF!</v>
      </c>
      <c r="F295" t="e">
        <f t="shared" si="10"/>
        <v>#REF!</v>
      </c>
    </row>
    <row r="296" spans="1:7" x14ac:dyDescent="0.2">
      <c r="A296" s="6" t="s">
        <v>284</v>
      </c>
      <c r="B296" s="3" t="s">
        <v>315</v>
      </c>
      <c r="C296" s="3"/>
      <c r="E296" t="e">
        <f>(#REF!)*#REF!</f>
        <v>#REF!</v>
      </c>
      <c r="F296" t="e">
        <f t="shared" si="10"/>
        <v>#REF!</v>
      </c>
      <c r="G296" t="s">
        <v>55</v>
      </c>
    </row>
    <row r="297" spans="1:7" x14ac:dyDescent="0.2">
      <c r="A297" s="6" t="s">
        <v>284</v>
      </c>
      <c r="B297" s="3">
        <v>-0.16800000000000001</v>
      </c>
      <c r="C297" s="3" t="s">
        <v>12</v>
      </c>
      <c r="D297" t="s">
        <v>363</v>
      </c>
    </row>
    <row r="298" spans="1:7" x14ac:dyDescent="0.2">
      <c r="A298" s="7" t="s">
        <v>285</v>
      </c>
      <c r="B298" s="3">
        <v>5.6000000000000001E-2</v>
      </c>
      <c r="C298" s="3" t="s">
        <v>13</v>
      </c>
      <c r="E298" t="e">
        <f>(#REF!)*#REF!</f>
        <v>#REF!</v>
      </c>
      <c r="F298" t="e">
        <f t="shared" si="10"/>
        <v>#REF!</v>
      </c>
    </row>
    <row r="299" spans="1:7" x14ac:dyDescent="0.2">
      <c r="A299" s="7" t="s">
        <v>286</v>
      </c>
      <c r="B299" s="3">
        <v>0.193</v>
      </c>
      <c r="C299" s="3" t="s">
        <v>13</v>
      </c>
      <c r="E299" t="e">
        <f>(#REF!)*#REF!</f>
        <v>#REF!</v>
      </c>
      <c r="F299" t="e">
        <f t="shared" si="10"/>
        <v>#REF!</v>
      </c>
    </row>
    <row r="300" spans="1:7" x14ac:dyDescent="0.2">
      <c r="A300" s="7" t="s">
        <v>287</v>
      </c>
      <c r="B300" s="3">
        <v>-0.38900000000000001</v>
      </c>
      <c r="C300" s="3" t="s">
        <v>12</v>
      </c>
      <c r="E300" t="e">
        <f>(#REF!)*#REF!</f>
        <v>#REF!</v>
      </c>
      <c r="F300" t="e">
        <f t="shared" si="10"/>
        <v>#REF!</v>
      </c>
    </row>
    <row r="301" spans="1:7" x14ac:dyDescent="0.2">
      <c r="A301" s="7" t="s">
        <v>288</v>
      </c>
      <c r="B301" s="3">
        <v>7.0999999999999994E-2</v>
      </c>
      <c r="C301" s="3" t="s">
        <v>13</v>
      </c>
      <c r="E301" t="e">
        <f>(#REF!)*#REF!</f>
        <v>#REF!</v>
      </c>
      <c r="F301" t="e">
        <f t="shared" si="10"/>
        <v>#REF!</v>
      </c>
    </row>
    <row r="302" spans="1:7" x14ac:dyDescent="0.2">
      <c r="A302" s="7" t="s">
        <v>289</v>
      </c>
      <c r="B302" s="3">
        <v>-4.3999999999999997E-2</v>
      </c>
      <c r="C302" s="3" t="s">
        <v>12</v>
      </c>
      <c r="E302" t="e">
        <f>(#REF!)*#REF!</f>
        <v>#REF!</v>
      </c>
      <c r="F302" t="e">
        <f t="shared" si="10"/>
        <v>#REF!</v>
      </c>
    </row>
    <row r="303" spans="1:7" x14ac:dyDescent="0.2">
      <c r="A303" s="7" t="s">
        <v>290</v>
      </c>
      <c r="B303" s="3" t="s">
        <v>91</v>
      </c>
      <c r="C303" s="3"/>
      <c r="D303" t="s">
        <v>339</v>
      </c>
      <c r="E303" t="e">
        <f>(#REF!)*#REF!</f>
        <v>#REF!</v>
      </c>
      <c r="F303" t="e">
        <f t="shared" si="10"/>
        <v>#REF!</v>
      </c>
    </row>
    <row r="304" spans="1:7" x14ac:dyDescent="0.2">
      <c r="A304" s="11" t="s">
        <v>290</v>
      </c>
      <c r="B304" s="3" t="s">
        <v>315</v>
      </c>
      <c r="C304" s="3" t="s">
        <v>304</v>
      </c>
      <c r="E304" t="e">
        <f>(#REF!)*#REF!</f>
        <v>#REF!</v>
      </c>
      <c r="F304" t="e">
        <f>200/E304</f>
        <v>#REF!</v>
      </c>
      <c r="G304" t="s">
        <v>55</v>
      </c>
    </row>
    <row r="305" spans="1:6" x14ac:dyDescent="0.2">
      <c r="A305" s="11" t="s">
        <v>341</v>
      </c>
      <c r="B305" s="3">
        <v>-0.28599999999999998</v>
      </c>
      <c r="C305" s="3" t="s">
        <v>12</v>
      </c>
      <c r="D305" t="s">
        <v>363</v>
      </c>
    </row>
    <row r="306" spans="1:6" x14ac:dyDescent="0.2">
      <c r="A306" s="7" t="s">
        <v>291</v>
      </c>
      <c r="B306" s="3">
        <v>0.187</v>
      </c>
      <c r="C306" s="3" t="s">
        <v>13</v>
      </c>
      <c r="E306" t="e">
        <f>(#REF!)*#REF!</f>
        <v>#REF!</v>
      </c>
      <c r="F306" t="e">
        <f t="shared" si="10"/>
        <v>#REF!</v>
      </c>
    </row>
    <row r="307" spans="1:6" x14ac:dyDescent="0.2">
      <c r="A307" s="7" t="s">
        <v>292</v>
      </c>
      <c r="B307" s="3">
        <v>0.114</v>
      </c>
      <c r="C307" s="3" t="s">
        <v>13</v>
      </c>
      <c r="E307" t="e">
        <f>(#REF!)*#REF!</f>
        <v>#REF!</v>
      </c>
      <c r="F307" t="e">
        <f t="shared" si="10"/>
        <v>#REF!</v>
      </c>
    </row>
    <row r="308" spans="1:6" x14ac:dyDescent="0.2">
      <c r="A308" s="7" t="s">
        <v>293</v>
      </c>
      <c r="B308" s="3">
        <v>0.13800000000000001</v>
      </c>
      <c r="C308" s="3" t="s">
        <v>13</v>
      </c>
      <c r="E308" t="e">
        <f>(#REF!)*#REF!</f>
        <v>#REF!</v>
      </c>
      <c r="F308" t="e">
        <f t="shared" si="10"/>
        <v>#REF!</v>
      </c>
    </row>
    <row r="309" spans="1:6" x14ac:dyDescent="0.2">
      <c r="A309" s="7" t="s">
        <v>294</v>
      </c>
      <c r="B309" s="3">
        <v>-0.182</v>
      </c>
      <c r="C309" s="3" t="s">
        <v>12</v>
      </c>
      <c r="E309" t="e">
        <f>(#REF!)*#REF!</f>
        <v>#REF!</v>
      </c>
      <c r="F309" t="e">
        <f t="shared" ref="F309:F316" si="13">200/E309</f>
        <v>#REF!</v>
      </c>
    </row>
    <row r="310" spans="1:6" x14ac:dyDescent="0.2">
      <c r="A310" s="7" t="s">
        <v>295</v>
      </c>
      <c r="B310" s="3">
        <v>0.55100000000000005</v>
      </c>
      <c r="C310" s="3" t="s">
        <v>13</v>
      </c>
      <c r="E310" t="e">
        <f>(#REF!)*#REF!</f>
        <v>#REF!</v>
      </c>
      <c r="F310" t="e">
        <f t="shared" si="13"/>
        <v>#REF!</v>
      </c>
    </row>
    <row r="311" spans="1:6" x14ac:dyDescent="0.2">
      <c r="A311" s="7" t="s">
        <v>296</v>
      </c>
      <c r="B311" s="3">
        <v>8.4000000000000005E-2</v>
      </c>
      <c r="C311" s="3" t="s">
        <v>13</v>
      </c>
      <c r="E311" t="e">
        <f>(#REF!)*#REF!</f>
        <v>#REF!</v>
      </c>
      <c r="F311" t="e">
        <f t="shared" si="13"/>
        <v>#REF!</v>
      </c>
    </row>
    <row r="312" spans="1:6" x14ac:dyDescent="0.2">
      <c r="A312" s="1" t="s">
        <v>298</v>
      </c>
      <c r="B312" s="3">
        <v>-0.42299999999999999</v>
      </c>
      <c r="C312" s="3" t="s">
        <v>12</v>
      </c>
      <c r="D312" t="s">
        <v>363</v>
      </c>
      <c r="E312" t="e">
        <f>(#REF!)*#REF!</f>
        <v>#REF!</v>
      </c>
      <c r="F312" t="e">
        <f t="shared" si="13"/>
        <v>#REF!</v>
      </c>
    </row>
    <row r="313" spans="1:6" x14ac:dyDescent="0.2">
      <c r="A313" s="1" t="s">
        <v>299</v>
      </c>
      <c r="B313" s="3">
        <v>-3.2000000000000001E-2</v>
      </c>
      <c r="C313" s="3" t="s">
        <v>12</v>
      </c>
      <c r="E313" t="e">
        <f>(#REF!)*#REF!</f>
        <v>#REF!</v>
      </c>
      <c r="F313" t="e">
        <f t="shared" si="13"/>
        <v>#REF!</v>
      </c>
    </row>
    <row r="314" spans="1:6" x14ac:dyDescent="0.2">
      <c r="A314" s="1" t="s">
        <v>300</v>
      </c>
      <c r="B314" s="3">
        <v>0.38100000000000001</v>
      </c>
      <c r="C314" s="3" t="s">
        <v>13</v>
      </c>
      <c r="E314" t="e">
        <f>(#REF!)*#REF!</f>
        <v>#REF!</v>
      </c>
      <c r="F314" t="e">
        <f t="shared" si="13"/>
        <v>#REF!</v>
      </c>
    </row>
    <row r="315" spans="1:6" x14ac:dyDescent="0.2">
      <c r="A315" s="1" t="s">
        <v>301</v>
      </c>
      <c r="B315" s="3">
        <v>6.6000000000000003E-2</v>
      </c>
      <c r="C315" s="3" t="s">
        <v>13</v>
      </c>
      <c r="E315" t="e">
        <f>(#REF!)*#REF!</f>
        <v>#REF!</v>
      </c>
      <c r="F315" t="e">
        <f t="shared" si="13"/>
        <v>#REF!</v>
      </c>
    </row>
    <row r="316" spans="1:6" x14ac:dyDescent="0.2">
      <c r="A316" s="1" t="s">
        <v>302</v>
      </c>
      <c r="B316" s="3">
        <v>0.377</v>
      </c>
      <c r="C316" s="3" t="s">
        <v>13</v>
      </c>
      <c r="E316" t="e">
        <f>(#REF!)*#REF!</f>
        <v>#REF!</v>
      </c>
      <c r="F316" t="e">
        <f t="shared" si="13"/>
        <v>#REF!</v>
      </c>
    </row>
    <row r="317" spans="1:6" x14ac:dyDescent="0.2">
      <c r="A317" s="1" t="s">
        <v>303</v>
      </c>
      <c r="B317" s="3">
        <v>-0.124</v>
      </c>
      <c r="C317" s="3" t="s">
        <v>12</v>
      </c>
      <c r="E317" t="e">
        <f>(#REF!)*#REF!</f>
        <v>#REF!</v>
      </c>
      <c r="F317" t="e">
        <f t="shared" ref="F317:F381" si="14">200/E317</f>
        <v>#REF!</v>
      </c>
    </row>
    <row r="318" spans="1:6" x14ac:dyDescent="0.2">
      <c r="A318" s="1" t="s">
        <v>305</v>
      </c>
      <c r="B318" s="3">
        <v>0.187</v>
      </c>
      <c r="C318" s="3" t="s">
        <v>13</v>
      </c>
      <c r="E318" t="e">
        <f>(#REF!)*#REF!</f>
        <v>#REF!</v>
      </c>
      <c r="F318" t="e">
        <f t="shared" si="14"/>
        <v>#REF!</v>
      </c>
    </row>
    <row r="319" spans="1:6" x14ac:dyDescent="0.2">
      <c r="A319" s="1" t="s">
        <v>306</v>
      </c>
      <c r="B319" s="3">
        <v>0.10199999999999999</v>
      </c>
      <c r="C319" s="3" t="s">
        <v>13</v>
      </c>
      <c r="E319" t="e">
        <f>(#REF!)*#REF!</f>
        <v>#REF!</v>
      </c>
      <c r="F319" t="e">
        <f t="shared" si="14"/>
        <v>#REF!</v>
      </c>
    </row>
    <row r="320" spans="1:6" x14ac:dyDescent="0.2">
      <c r="A320" s="1" t="s">
        <v>307</v>
      </c>
      <c r="B320" s="3">
        <v>-0.22</v>
      </c>
      <c r="C320" s="3" t="s">
        <v>12</v>
      </c>
      <c r="E320" t="e">
        <f>(#REF!)*#REF!</f>
        <v>#REF!</v>
      </c>
      <c r="F320" t="e">
        <f t="shared" si="14"/>
        <v>#REF!</v>
      </c>
    </row>
    <row r="321" spans="1:6" x14ac:dyDescent="0.2">
      <c r="A321" s="1" t="s">
        <v>308</v>
      </c>
      <c r="B321" s="3" t="s">
        <v>315</v>
      </c>
      <c r="C321" s="3" t="s">
        <v>304</v>
      </c>
      <c r="D321" t="s">
        <v>337</v>
      </c>
      <c r="E321" t="e">
        <f>(#REF!)*#REF!</f>
        <v>#REF!</v>
      </c>
      <c r="F321" t="e">
        <f t="shared" si="14"/>
        <v>#REF!</v>
      </c>
    </row>
    <row r="322" spans="1:6" x14ac:dyDescent="0.2">
      <c r="A322" s="1" t="s">
        <v>308</v>
      </c>
      <c r="B322" s="3">
        <v>-9.8000000000000004E-2</v>
      </c>
      <c r="C322" s="3" t="s">
        <v>12</v>
      </c>
      <c r="D322" t="s">
        <v>363</v>
      </c>
    </row>
    <row r="323" spans="1:6" x14ac:dyDescent="0.2">
      <c r="A323" s="1" t="s">
        <v>309</v>
      </c>
      <c r="B323" s="3">
        <v>0.30399999999999999</v>
      </c>
      <c r="C323" s="3" t="s">
        <v>13</v>
      </c>
      <c r="E323" t="e">
        <f>(#REF!)*#REF!</f>
        <v>#REF!</v>
      </c>
      <c r="F323" t="e">
        <f t="shared" si="14"/>
        <v>#REF!</v>
      </c>
    </row>
    <row r="324" spans="1:6" x14ac:dyDescent="0.2">
      <c r="A324" s="1" t="s">
        <v>310</v>
      </c>
      <c r="B324" s="3">
        <v>0.25</v>
      </c>
      <c r="C324" s="3" t="s">
        <v>13</v>
      </c>
      <c r="E324" t="e">
        <f>(#REF!)*#REF!</f>
        <v>#REF!</v>
      </c>
      <c r="F324" t="e">
        <f t="shared" si="14"/>
        <v>#REF!</v>
      </c>
    </row>
    <row r="325" spans="1:6" x14ac:dyDescent="0.2">
      <c r="A325" s="1" t="s">
        <v>311</v>
      </c>
      <c r="B325" s="3">
        <v>0.13600000000000001</v>
      </c>
      <c r="C325" s="3" t="s">
        <v>13</v>
      </c>
      <c r="E325" t="e">
        <f>(#REF!)*#REF!</f>
        <v>#REF!</v>
      </c>
      <c r="F325" t="e">
        <f t="shared" si="14"/>
        <v>#REF!</v>
      </c>
    </row>
    <row r="326" spans="1:6" x14ac:dyDescent="0.2">
      <c r="A326" s="1" t="s">
        <v>312</v>
      </c>
      <c r="B326" s="3">
        <v>-2.4E-2</v>
      </c>
      <c r="C326" s="3" t="s">
        <v>12</v>
      </c>
      <c r="E326" t="e">
        <f>(#REF!)*#REF!</f>
        <v>#REF!</v>
      </c>
      <c r="F326" t="e">
        <f t="shared" si="14"/>
        <v>#REF!</v>
      </c>
    </row>
    <row r="327" spans="1:6" x14ac:dyDescent="0.2">
      <c r="A327" s="1" t="s">
        <v>313</v>
      </c>
      <c r="B327" s="3">
        <v>0.23499999999999999</v>
      </c>
      <c r="C327" s="3" t="s">
        <v>13</v>
      </c>
      <c r="E327" t="e">
        <f>(#REF!)*#REF!</f>
        <v>#REF!</v>
      </c>
      <c r="F327" t="e">
        <f t="shared" si="14"/>
        <v>#REF!</v>
      </c>
    </row>
    <row r="328" spans="1:6" x14ac:dyDescent="0.2">
      <c r="A328" s="1" t="s">
        <v>313</v>
      </c>
      <c r="B328" s="3">
        <v>-0.34499999999999997</v>
      </c>
      <c r="C328" s="3" t="s">
        <v>12</v>
      </c>
      <c r="E328" t="e">
        <f>(#REF!)*#REF!</f>
        <v>#REF!</v>
      </c>
      <c r="F328" t="e">
        <f t="shared" si="14"/>
        <v>#REF!</v>
      </c>
    </row>
    <row r="329" spans="1:6" x14ac:dyDescent="0.2">
      <c r="A329" s="1" t="s">
        <v>314</v>
      </c>
      <c r="B329" s="3">
        <v>0.214</v>
      </c>
      <c r="C329" s="3" t="s">
        <v>13</v>
      </c>
      <c r="E329" t="e">
        <f>(#REF!)*#REF!</f>
        <v>#REF!</v>
      </c>
      <c r="F329" t="e">
        <f t="shared" si="14"/>
        <v>#REF!</v>
      </c>
    </row>
    <row r="330" spans="1:6" x14ac:dyDescent="0.2">
      <c r="A330" s="1" t="s">
        <v>322</v>
      </c>
      <c r="B330" s="3">
        <v>5.8999999999999997E-2</v>
      </c>
      <c r="C330" s="3" t="s">
        <v>13</v>
      </c>
      <c r="E330" t="e">
        <f>(#REF!)*#REF!</f>
        <v>#REF!</v>
      </c>
      <c r="F330" t="e">
        <f t="shared" si="14"/>
        <v>#REF!</v>
      </c>
    </row>
    <row r="331" spans="1:6" x14ac:dyDescent="0.2">
      <c r="A331" s="1" t="s">
        <v>323</v>
      </c>
      <c r="B331" s="3">
        <v>-0.19400000000000001</v>
      </c>
      <c r="C331" s="3" t="s">
        <v>12</v>
      </c>
      <c r="E331" t="e">
        <f>(#REF!)*#REF!</f>
        <v>#REF!</v>
      </c>
      <c r="F331" t="e">
        <f t="shared" si="14"/>
        <v>#REF!</v>
      </c>
    </row>
    <row r="332" spans="1:6" x14ac:dyDescent="0.2">
      <c r="A332" s="1" t="s">
        <v>324</v>
      </c>
      <c r="B332" s="3">
        <v>-0.193</v>
      </c>
      <c r="C332" s="3" t="s">
        <v>12</v>
      </c>
      <c r="E332" t="e">
        <f>(#REF!)*#REF!</f>
        <v>#REF!</v>
      </c>
      <c r="F332" t="e">
        <f t="shared" si="14"/>
        <v>#REF!</v>
      </c>
    </row>
    <row r="333" spans="1:6" x14ac:dyDescent="0.2">
      <c r="A333" s="1" t="s">
        <v>325</v>
      </c>
      <c r="B333" s="3">
        <v>-4.3999999999999997E-2</v>
      </c>
      <c r="C333" s="3" t="s">
        <v>12</v>
      </c>
      <c r="E333" t="e">
        <f>(#REF!)*#REF!</f>
        <v>#REF!</v>
      </c>
      <c r="F333" t="e">
        <f t="shared" si="14"/>
        <v>#REF!</v>
      </c>
    </row>
    <row r="334" spans="1:6" x14ac:dyDescent="0.2">
      <c r="A334" s="1" t="s">
        <v>326</v>
      </c>
      <c r="B334" s="3" t="s">
        <v>315</v>
      </c>
      <c r="C334" s="3" t="s">
        <v>304</v>
      </c>
      <c r="D334" t="s">
        <v>337</v>
      </c>
      <c r="E334" t="e">
        <f>(#REF!)*#REF!</f>
        <v>#REF!</v>
      </c>
      <c r="F334" t="e">
        <f t="shared" si="14"/>
        <v>#REF!</v>
      </c>
    </row>
    <row r="335" spans="1:6" x14ac:dyDescent="0.2">
      <c r="A335" s="1" t="s">
        <v>326</v>
      </c>
      <c r="B335" s="3">
        <v>0.47899999999999998</v>
      </c>
      <c r="C335" s="3" t="s">
        <v>13</v>
      </c>
      <c r="D335" t="s">
        <v>363</v>
      </c>
    </row>
    <row r="336" spans="1:6" x14ac:dyDescent="0.2">
      <c r="A336" s="1" t="s">
        <v>327</v>
      </c>
      <c r="B336" s="3">
        <v>-0.156</v>
      </c>
      <c r="C336" s="3" t="s">
        <v>12</v>
      </c>
      <c r="E336" t="e">
        <f>(#REF!)*#REF!</f>
        <v>#REF!</v>
      </c>
      <c r="F336" t="e">
        <f t="shared" si="14"/>
        <v>#REF!</v>
      </c>
    </row>
    <row r="337" spans="1:6" x14ac:dyDescent="0.2">
      <c r="A337" s="1" t="s">
        <v>328</v>
      </c>
      <c r="B337" s="3">
        <v>-0.69599999999999995</v>
      </c>
      <c r="C337" s="3" t="s">
        <v>12</v>
      </c>
      <c r="E337" t="e">
        <f>(#REF!)*#REF!</f>
        <v>#REF!</v>
      </c>
      <c r="F337" t="e">
        <f t="shared" si="14"/>
        <v>#REF!</v>
      </c>
    </row>
    <row r="338" spans="1:6" x14ac:dyDescent="0.2">
      <c r="A338" s="1" t="s">
        <v>329</v>
      </c>
      <c r="B338" s="3">
        <v>0.57799999999999996</v>
      </c>
      <c r="C338" s="3" t="s">
        <v>13</v>
      </c>
      <c r="E338" t="e">
        <f>(#REF!)*#REF!</f>
        <v>#REF!</v>
      </c>
      <c r="F338" t="e">
        <f t="shared" si="14"/>
        <v>#REF!</v>
      </c>
    </row>
    <row r="339" spans="1:6" x14ac:dyDescent="0.2">
      <c r="A339" s="1" t="s">
        <v>330</v>
      </c>
      <c r="B339" s="3">
        <v>0.22800000000000001</v>
      </c>
      <c r="C339" s="3" t="s">
        <v>13</v>
      </c>
      <c r="E339" t="e">
        <f>(#REF!)*#REF!</f>
        <v>#REF!</v>
      </c>
      <c r="F339" t="e">
        <f t="shared" si="14"/>
        <v>#REF!</v>
      </c>
    </row>
    <row r="340" spans="1:6" x14ac:dyDescent="0.2">
      <c r="A340" s="1" t="s">
        <v>342</v>
      </c>
      <c r="B340" s="3">
        <v>-7.1999999999999995E-2</v>
      </c>
      <c r="C340" s="3" t="s">
        <v>12</v>
      </c>
      <c r="E340" t="e">
        <f>(#REF!)*#REF!</f>
        <v>#REF!</v>
      </c>
      <c r="F340" t="e">
        <f t="shared" si="14"/>
        <v>#REF!</v>
      </c>
    </row>
    <row r="341" spans="1:6" x14ac:dyDescent="0.2">
      <c r="A341" s="1" t="s">
        <v>343</v>
      </c>
      <c r="B341" s="3">
        <v>0.13600000000000001</v>
      </c>
      <c r="C341" s="3" t="s">
        <v>13</v>
      </c>
      <c r="E341" t="e">
        <f>(#REF!)*#REF!</f>
        <v>#REF!</v>
      </c>
      <c r="F341" t="e">
        <f t="shared" si="14"/>
        <v>#REF!</v>
      </c>
    </row>
    <row r="342" spans="1:6" x14ac:dyDescent="0.2">
      <c r="A342" s="1" t="s">
        <v>344</v>
      </c>
      <c r="B342" s="3">
        <v>-7.1999999999999995E-2</v>
      </c>
      <c r="C342" s="3" t="s">
        <v>12</v>
      </c>
      <c r="D342" t="s">
        <v>363</v>
      </c>
      <c r="E342" t="e">
        <f>(#REF!)*#REF!</f>
        <v>#REF!</v>
      </c>
      <c r="F342" t="e">
        <f t="shared" si="14"/>
        <v>#REF!</v>
      </c>
    </row>
    <row r="343" spans="1:6" x14ac:dyDescent="0.2">
      <c r="A343" s="1" t="s">
        <v>345</v>
      </c>
      <c r="B343" s="3">
        <v>0.23699999999999999</v>
      </c>
      <c r="C343" s="3" t="s">
        <v>13</v>
      </c>
      <c r="E343" t="e">
        <f>(#REF!)*#REF!</f>
        <v>#REF!</v>
      </c>
      <c r="F343" t="e">
        <f t="shared" si="14"/>
        <v>#REF!</v>
      </c>
    </row>
    <row r="344" spans="1:6" x14ac:dyDescent="0.2">
      <c r="A344" s="1" t="s">
        <v>346</v>
      </c>
      <c r="B344" s="3">
        <v>-8.8999999999999996E-2</v>
      </c>
      <c r="C344" s="3" t="s">
        <v>12</v>
      </c>
      <c r="E344" t="e">
        <f>(#REF!)*#REF!</f>
        <v>#REF!</v>
      </c>
      <c r="F344" t="e">
        <f t="shared" si="14"/>
        <v>#REF!</v>
      </c>
    </row>
    <row r="345" spans="1:6" x14ac:dyDescent="0.2">
      <c r="A345" s="1" t="s">
        <v>347</v>
      </c>
      <c r="B345" s="3">
        <v>3.2000000000000001E-2</v>
      </c>
      <c r="C345" s="3" t="s">
        <v>13</v>
      </c>
      <c r="E345" t="e">
        <f>(#REF!)*#REF!</f>
        <v>#REF!</v>
      </c>
      <c r="F345" t="e">
        <f t="shared" si="14"/>
        <v>#REF!</v>
      </c>
    </row>
    <row r="346" spans="1:6" x14ac:dyDescent="0.2">
      <c r="A346" s="1" t="s">
        <v>348</v>
      </c>
      <c r="B346" s="3">
        <v>-0.41399999999999998</v>
      </c>
      <c r="C346" s="3" t="s">
        <v>12</v>
      </c>
      <c r="E346" t="e">
        <f>(#REF!)*#REF!</f>
        <v>#REF!</v>
      </c>
      <c r="F346" t="e">
        <f t="shared" si="14"/>
        <v>#REF!</v>
      </c>
    </row>
    <row r="347" spans="1:6" x14ac:dyDescent="0.2">
      <c r="A347" s="1" t="s">
        <v>349</v>
      </c>
      <c r="B347" s="3">
        <v>-0.13400000000000001</v>
      </c>
      <c r="C347" s="3" t="s">
        <v>12</v>
      </c>
      <c r="D347" t="s">
        <v>363</v>
      </c>
      <c r="E347" t="e">
        <f>(#REF!)*#REF!</f>
        <v>#REF!</v>
      </c>
      <c r="F347" t="e">
        <f t="shared" si="14"/>
        <v>#REF!</v>
      </c>
    </row>
    <row r="348" spans="1:6" x14ac:dyDescent="0.2">
      <c r="A348" s="1" t="s">
        <v>350</v>
      </c>
      <c r="B348" s="3">
        <v>-0.42599999999999999</v>
      </c>
      <c r="C348" s="3" t="s">
        <v>12</v>
      </c>
      <c r="E348" t="e">
        <f>(#REF!)*#REF!</f>
        <v>#REF!</v>
      </c>
      <c r="F348" t="e">
        <f t="shared" si="14"/>
        <v>#REF!</v>
      </c>
    </row>
    <row r="349" spans="1:6" x14ac:dyDescent="0.2">
      <c r="A349" s="1" t="s">
        <v>84</v>
      </c>
      <c r="B349" s="3">
        <v>-0.60299999999999998</v>
      </c>
      <c r="C349" s="3" t="s">
        <v>12</v>
      </c>
      <c r="E349" t="e">
        <f>(#REF!)*#REF!</f>
        <v>#REF!</v>
      </c>
      <c r="F349" t="e">
        <f t="shared" si="14"/>
        <v>#REF!</v>
      </c>
    </row>
    <row r="350" spans="1:6" x14ac:dyDescent="0.2">
      <c r="A350" s="1" t="s">
        <v>351</v>
      </c>
      <c r="B350" s="3">
        <v>0.32300000000000001</v>
      </c>
      <c r="C350" s="3" t="s">
        <v>13</v>
      </c>
      <c r="E350" t="e">
        <f>(#REF!)*#REF!</f>
        <v>#REF!</v>
      </c>
      <c r="F350" t="e">
        <f t="shared" si="14"/>
        <v>#REF!</v>
      </c>
    </row>
    <row r="351" spans="1:6" x14ac:dyDescent="0.2">
      <c r="A351" s="1" t="s">
        <v>352</v>
      </c>
      <c r="B351" s="3">
        <v>-0.13700000000000001</v>
      </c>
      <c r="C351" s="3" t="s">
        <v>12</v>
      </c>
      <c r="E351" t="e">
        <f>(#REF!)*#REF!</f>
        <v>#REF!</v>
      </c>
      <c r="F351" t="e">
        <f t="shared" si="14"/>
        <v>#REF!</v>
      </c>
    </row>
    <row r="352" spans="1:6" x14ac:dyDescent="0.2">
      <c r="A352" s="1" t="s">
        <v>353</v>
      </c>
      <c r="B352" s="3">
        <v>-0.82299999999999995</v>
      </c>
      <c r="C352" s="3" t="s">
        <v>12</v>
      </c>
      <c r="E352" t="e">
        <f>(#REF!)*#REF!</f>
        <v>#REF!</v>
      </c>
      <c r="F352" t="e">
        <f t="shared" si="14"/>
        <v>#REF!</v>
      </c>
    </row>
    <row r="353" spans="1:6" x14ac:dyDescent="0.2">
      <c r="A353" s="1" t="s">
        <v>354</v>
      </c>
      <c r="B353" s="3">
        <v>8.5999999999999993E-2</v>
      </c>
      <c r="C353" s="3" t="s">
        <v>13</v>
      </c>
      <c r="E353" t="e">
        <f>(#REF!)*#REF!</f>
        <v>#REF!</v>
      </c>
      <c r="F353" t="e">
        <f t="shared" si="14"/>
        <v>#REF!</v>
      </c>
    </row>
    <row r="354" spans="1:6" x14ac:dyDescent="0.2">
      <c r="A354" s="1" t="s">
        <v>355</v>
      </c>
      <c r="B354" s="3">
        <v>0.16600000000000001</v>
      </c>
      <c r="C354" s="3" t="s">
        <v>13</v>
      </c>
      <c r="E354" t="e">
        <f>(#REF!)*#REF!</f>
        <v>#REF!</v>
      </c>
      <c r="F354" t="e">
        <f t="shared" si="14"/>
        <v>#REF!</v>
      </c>
    </row>
    <row r="355" spans="1:6" x14ac:dyDescent="0.2">
      <c r="A355" s="1" t="s">
        <v>356</v>
      </c>
      <c r="B355" s="3">
        <v>-0.38800000000000001</v>
      </c>
      <c r="C355" s="3" t="s">
        <v>12</v>
      </c>
      <c r="D355" t="s">
        <v>363</v>
      </c>
      <c r="E355" t="e">
        <f>(#REF!)*#REF!</f>
        <v>#REF!</v>
      </c>
      <c r="F355" t="e">
        <f t="shared" si="14"/>
        <v>#REF!</v>
      </c>
    </row>
    <row r="356" spans="1:6" x14ac:dyDescent="0.2">
      <c r="A356" s="1" t="s">
        <v>357</v>
      </c>
      <c r="B356" s="3">
        <v>-0.54600000000000004</v>
      </c>
      <c r="C356" s="3" t="s">
        <v>12</v>
      </c>
      <c r="E356" t="e">
        <f>(#REF!)*#REF!</f>
        <v>#REF!</v>
      </c>
      <c r="F356" t="e">
        <f t="shared" si="14"/>
        <v>#REF!</v>
      </c>
    </row>
    <row r="357" spans="1:6" x14ac:dyDescent="0.2">
      <c r="A357" s="1" t="s">
        <v>358</v>
      </c>
      <c r="B357" s="3">
        <v>-0.54</v>
      </c>
      <c r="C357" s="3" t="s">
        <v>12</v>
      </c>
      <c r="E357" t="e">
        <f>(#REF!)*#REF!</f>
        <v>#REF!</v>
      </c>
      <c r="F357" t="e">
        <f t="shared" si="14"/>
        <v>#REF!</v>
      </c>
    </row>
    <row r="358" spans="1:6" x14ac:dyDescent="0.2">
      <c r="A358" s="1" t="s">
        <v>359</v>
      </c>
      <c r="B358" s="3">
        <v>-0.20599999999999999</v>
      </c>
      <c r="C358" s="3" t="s">
        <v>12</v>
      </c>
      <c r="E358" t="e">
        <f>(#REF!)*#REF!</f>
        <v>#REF!</v>
      </c>
      <c r="F358" t="e">
        <f t="shared" si="14"/>
        <v>#REF!</v>
      </c>
    </row>
    <row r="359" spans="1:6" x14ac:dyDescent="0.2">
      <c r="A359" s="1" t="s">
        <v>360</v>
      </c>
      <c r="B359" s="3">
        <v>-0.29499999999999998</v>
      </c>
      <c r="C359" s="3" t="s">
        <v>12</v>
      </c>
      <c r="E359" t="e">
        <f>(#REF!)*#REF!</f>
        <v>#REF!</v>
      </c>
      <c r="F359" t="e">
        <f t="shared" si="14"/>
        <v>#REF!</v>
      </c>
    </row>
    <row r="360" spans="1:6" x14ac:dyDescent="0.2">
      <c r="A360" s="1" t="s">
        <v>361</v>
      </c>
      <c r="B360" s="3">
        <v>-0.16800000000000001</v>
      </c>
      <c r="C360" s="3" t="s">
        <v>12</v>
      </c>
      <c r="D360" t="s">
        <v>363</v>
      </c>
      <c r="E360" t="e">
        <f>(#REF!)*#REF!</f>
        <v>#REF!</v>
      </c>
      <c r="F360" t="e">
        <f t="shared" si="14"/>
        <v>#REF!</v>
      </c>
    </row>
    <row r="361" spans="1:6" x14ac:dyDescent="0.2">
      <c r="A361" s="1" t="s">
        <v>362</v>
      </c>
      <c r="B361" s="3">
        <v>7.3999999999999996E-2</v>
      </c>
      <c r="C361" s="3" t="s">
        <v>13</v>
      </c>
      <c r="D361" t="s">
        <v>363</v>
      </c>
      <c r="E361" t="e">
        <f>(#REF!)*#REF!</f>
        <v>#REF!</v>
      </c>
      <c r="F361" t="e">
        <f t="shared" si="14"/>
        <v>#REF!</v>
      </c>
    </row>
    <row r="362" spans="1:6" x14ac:dyDescent="0.2">
      <c r="A362" s="1" t="s">
        <v>364</v>
      </c>
      <c r="B362" s="3">
        <v>-0.312</v>
      </c>
      <c r="C362" s="3" t="s">
        <v>12</v>
      </c>
      <c r="E362" t="e">
        <f>(#REF!)*#REF!</f>
        <v>#REF!</v>
      </c>
      <c r="F362" t="e">
        <f t="shared" si="14"/>
        <v>#REF!</v>
      </c>
    </row>
    <row r="363" spans="1:6" x14ac:dyDescent="0.2">
      <c r="A363" s="1" t="s">
        <v>365</v>
      </c>
      <c r="B363" s="3">
        <v>-9.4E-2</v>
      </c>
      <c r="C363" s="3" t="s">
        <v>12</v>
      </c>
      <c r="E363" t="e">
        <f>(#REF!)*#REF!</f>
        <v>#REF!</v>
      </c>
      <c r="F363" t="e">
        <f t="shared" si="14"/>
        <v>#REF!</v>
      </c>
    </row>
    <row r="364" spans="1:6" x14ac:dyDescent="0.2">
      <c r="A364" s="1" t="s">
        <v>366</v>
      </c>
      <c r="B364" s="3">
        <v>-0.104</v>
      </c>
      <c r="C364" s="3" t="s">
        <v>12</v>
      </c>
      <c r="E364" t="e">
        <f>(#REF!)*#REF!</f>
        <v>#REF!</v>
      </c>
      <c r="F364" t="e">
        <f t="shared" si="14"/>
        <v>#REF!</v>
      </c>
    </row>
    <row r="365" spans="1:6" x14ac:dyDescent="0.2">
      <c r="A365" s="1" t="s">
        <v>367</v>
      </c>
      <c r="B365" s="3">
        <v>0.14000000000000001</v>
      </c>
      <c r="C365" s="3" t="s">
        <v>13</v>
      </c>
      <c r="E365" t="e">
        <f>(#REF!)*#REF!</f>
        <v>#REF!</v>
      </c>
      <c r="F365" t="e">
        <f t="shared" si="14"/>
        <v>#REF!</v>
      </c>
    </row>
    <row r="366" spans="1:6" x14ac:dyDescent="0.2">
      <c r="A366" s="1" t="s">
        <v>368</v>
      </c>
      <c r="B366" s="3">
        <v>0.57599999999999996</v>
      </c>
      <c r="C366" s="3" t="s">
        <v>13</v>
      </c>
      <c r="E366" t="e">
        <f>(#REF!)*#REF!</f>
        <v>#REF!</v>
      </c>
      <c r="F366" t="e">
        <f t="shared" si="14"/>
        <v>#REF!</v>
      </c>
    </row>
    <row r="367" spans="1:6" x14ac:dyDescent="0.2">
      <c r="A367" s="1" t="s">
        <v>369</v>
      </c>
      <c r="B367" s="3">
        <v>0.20399999999999999</v>
      </c>
      <c r="C367" s="3" t="s">
        <v>13</v>
      </c>
      <c r="E367" t="e">
        <f>(#REF!)*#REF!</f>
        <v>#REF!</v>
      </c>
      <c r="F367" t="e">
        <f t="shared" si="14"/>
        <v>#REF!</v>
      </c>
    </row>
    <row r="368" spans="1:6" x14ac:dyDescent="0.2">
      <c r="A368" s="1" t="s">
        <v>370</v>
      </c>
      <c r="B368" s="3">
        <v>-0.27700000000000002</v>
      </c>
      <c r="C368" s="3" t="s">
        <v>12</v>
      </c>
      <c r="E368" t="e">
        <f>(#REF!)*#REF!</f>
        <v>#REF!</v>
      </c>
      <c r="F368" t="e">
        <f t="shared" si="14"/>
        <v>#REF!</v>
      </c>
    </row>
    <row r="369" spans="1:6" x14ac:dyDescent="0.2">
      <c r="A369" s="1" t="s">
        <v>371</v>
      </c>
      <c r="B369" s="3">
        <v>-0.54400000000000004</v>
      </c>
      <c r="C369" s="3" t="s">
        <v>12</v>
      </c>
      <c r="E369" t="e">
        <f>(#REF!)*#REF!</f>
        <v>#REF!</v>
      </c>
      <c r="F369" t="e">
        <f t="shared" si="14"/>
        <v>#REF!</v>
      </c>
    </row>
    <row r="370" spans="1:6" x14ac:dyDescent="0.2">
      <c r="A370" s="1" t="s">
        <v>372</v>
      </c>
      <c r="B370" s="3">
        <v>-0.157</v>
      </c>
      <c r="C370" s="3" t="s">
        <v>12</v>
      </c>
      <c r="E370" t="e">
        <f>(#REF!)*#REF!</f>
        <v>#REF!</v>
      </c>
      <c r="F370" t="e">
        <f t="shared" si="14"/>
        <v>#REF!</v>
      </c>
    </row>
    <row r="371" spans="1:6" x14ac:dyDescent="0.2">
      <c r="A371" s="1" t="s">
        <v>373</v>
      </c>
      <c r="B371" s="3">
        <v>-0.77800000000000002</v>
      </c>
      <c r="C371" s="3" t="s">
        <v>12</v>
      </c>
      <c r="E371" t="e">
        <f>(#REF!)*#REF!</f>
        <v>#REF!</v>
      </c>
      <c r="F371" t="e">
        <f t="shared" si="14"/>
        <v>#REF!</v>
      </c>
    </row>
    <row r="372" spans="1:6" x14ac:dyDescent="0.2">
      <c r="A372" s="1" t="s">
        <v>374</v>
      </c>
      <c r="B372" s="3">
        <v>-0.51300000000000001</v>
      </c>
      <c r="C372" s="3" t="s">
        <v>12</v>
      </c>
      <c r="E372" t="e">
        <f>(#REF!)*#REF!</f>
        <v>#REF!</v>
      </c>
      <c r="F372" t="e">
        <f t="shared" si="14"/>
        <v>#REF!</v>
      </c>
    </row>
    <row r="373" spans="1:6" x14ac:dyDescent="0.2">
      <c r="A373" s="1" t="s">
        <v>193</v>
      </c>
      <c r="B373" s="3">
        <v>-0.08</v>
      </c>
      <c r="C373" s="3" t="s">
        <v>12</v>
      </c>
      <c r="E373" t="e">
        <f>(#REF!)*#REF!</f>
        <v>#REF!</v>
      </c>
      <c r="F373" t="e">
        <f t="shared" si="14"/>
        <v>#REF!</v>
      </c>
    </row>
    <row r="374" spans="1:6" x14ac:dyDescent="0.2">
      <c r="A374" s="1" t="s">
        <v>375</v>
      </c>
      <c r="B374" s="3">
        <v>-0.378</v>
      </c>
      <c r="C374" s="3" t="s">
        <v>12</v>
      </c>
      <c r="E374" t="e">
        <f>(#REF!)*#REF!</f>
        <v>#REF!</v>
      </c>
      <c r="F374" t="e">
        <f t="shared" si="14"/>
        <v>#REF!</v>
      </c>
    </row>
    <row r="375" spans="1:6" x14ac:dyDescent="0.2">
      <c r="A375" s="1" t="s">
        <v>376</v>
      </c>
      <c r="B375" s="3">
        <v>0.29199999999999998</v>
      </c>
      <c r="C375" s="3" t="s">
        <v>13</v>
      </c>
      <c r="E375" t="e">
        <f>(#REF!)*#REF!</f>
        <v>#REF!</v>
      </c>
      <c r="F375" t="e">
        <f t="shared" si="14"/>
        <v>#REF!</v>
      </c>
    </row>
    <row r="376" spans="1:6" x14ac:dyDescent="0.2">
      <c r="A376" s="1" t="s">
        <v>377</v>
      </c>
      <c r="B376" s="3">
        <v>6.0000000000000001E-3</v>
      </c>
      <c r="C376" s="3" t="s">
        <v>13</v>
      </c>
      <c r="D376" t="s">
        <v>384</v>
      </c>
      <c r="E376" t="e">
        <f>(#REF!)*#REF!</f>
        <v>#REF!</v>
      </c>
      <c r="F376" t="e">
        <f t="shared" si="14"/>
        <v>#REF!</v>
      </c>
    </row>
    <row r="377" spans="1:6" x14ac:dyDescent="0.2">
      <c r="A377" s="1" t="s">
        <v>378</v>
      </c>
      <c r="B377" s="3">
        <v>-1.4999999999999999E-2</v>
      </c>
      <c r="C377" s="3" t="s">
        <v>12</v>
      </c>
      <c r="D377" t="s">
        <v>384</v>
      </c>
      <c r="E377" t="e">
        <f>(#REF!)*#REF!</f>
        <v>#REF!</v>
      </c>
      <c r="F377" t="e">
        <f t="shared" si="14"/>
        <v>#REF!</v>
      </c>
    </row>
    <row r="378" spans="1:6" x14ac:dyDescent="0.2">
      <c r="A378" s="1" t="s">
        <v>379</v>
      </c>
      <c r="B378" s="3">
        <v>-0.42099999999999999</v>
      </c>
      <c r="C378" s="3" t="s">
        <v>12</v>
      </c>
      <c r="E378" t="e">
        <f>(#REF!)*#REF!</f>
        <v>#REF!</v>
      </c>
      <c r="F378" t="e">
        <f t="shared" si="14"/>
        <v>#REF!</v>
      </c>
    </row>
    <row r="379" spans="1:6" x14ac:dyDescent="0.2">
      <c r="A379" s="1" t="s">
        <v>380</v>
      </c>
      <c r="B379" s="3">
        <v>-0.25600000000000001</v>
      </c>
      <c r="C379" s="3" t="s">
        <v>12</v>
      </c>
      <c r="E379" t="e">
        <f>(#REF!)*#REF!</f>
        <v>#REF!</v>
      </c>
      <c r="F379" t="e">
        <f t="shared" si="14"/>
        <v>#REF!</v>
      </c>
    </row>
    <row r="380" spans="1:6" x14ac:dyDescent="0.2">
      <c r="A380" s="1" t="s">
        <v>381</v>
      </c>
      <c r="B380" s="3">
        <v>-0.14799999999999999</v>
      </c>
      <c r="C380" s="3" t="s">
        <v>12</v>
      </c>
      <c r="E380" t="e">
        <f>(#REF!)*#REF!</f>
        <v>#REF!</v>
      </c>
      <c r="F380" t="e">
        <f t="shared" si="14"/>
        <v>#REF!</v>
      </c>
    </row>
    <row r="381" spans="1:6" x14ac:dyDescent="0.2">
      <c r="A381" s="1" t="s">
        <v>382</v>
      </c>
      <c r="B381" s="3">
        <v>-4.5999999999999999E-2</v>
      </c>
      <c r="C381" s="3" t="s">
        <v>12</v>
      </c>
      <c r="D381" t="s">
        <v>384</v>
      </c>
      <c r="E381" t="e">
        <f>(#REF!)*#REF!</f>
        <v>#REF!</v>
      </c>
      <c r="F381" t="e">
        <f t="shared" si="14"/>
        <v>#REF!</v>
      </c>
    </row>
    <row r="382" spans="1:6" x14ac:dyDescent="0.2">
      <c r="A382" s="1" t="s">
        <v>383</v>
      </c>
      <c r="B382" s="3">
        <v>4.1000000000000002E-2</v>
      </c>
      <c r="C382" s="3" t="s">
        <v>13</v>
      </c>
      <c r="D382" t="s">
        <v>384</v>
      </c>
      <c r="E382" t="e">
        <f>(#REF!)*#REF!</f>
        <v>#REF!</v>
      </c>
      <c r="F382" t="e">
        <f t="shared" ref="F382:F418" si="15">200/E382</f>
        <v>#REF!</v>
      </c>
    </row>
    <row r="383" spans="1:6" x14ac:dyDescent="0.2">
      <c r="A383" s="1" t="s">
        <v>385</v>
      </c>
      <c r="B383" s="3">
        <v>7.9000000000000001E-2</v>
      </c>
      <c r="C383" s="3" t="s">
        <v>13</v>
      </c>
      <c r="E383" t="e">
        <f>(#REF!)*#REF!</f>
        <v>#REF!</v>
      </c>
      <c r="F383" t="e">
        <f t="shared" si="15"/>
        <v>#REF!</v>
      </c>
    </row>
    <row r="384" spans="1:6" x14ac:dyDescent="0.2">
      <c r="A384" s="1" t="s">
        <v>386</v>
      </c>
      <c r="B384" s="3">
        <v>0.13900000000000001</v>
      </c>
      <c r="C384" s="3" t="s">
        <v>13</v>
      </c>
      <c r="E384" t="e">
        <f>(#REF!)*#REF!</f>
        <v>#REF!</v>
      </c>
      <c r="F384" t="e">
        <f t="shared" si="15"/>
        <v>#REF!</v>
      </c>
    </row>
    <row r="385" spans="1:6" x14ac:dyDescent="0.2">
      <c r="A385" s="1" t="s">
        <v>387</v>
      </c>
      <c r="B385" s="3">
        <v>0.41799999999999998</v>
      </c>
      <c r="C385" s="3" t="s">
        <v>13</v>
      </c>
      <c r="D385" t="s">
        <v>396</v>
      </c>
      <c r="E385" t="e">
        <f>(#REF!)*#REF!</f>
        <v>#REF!</v>
      </c>
      <c r="F385" t="e">
        <f t="shared" si="15"/>
        <v>#REF!</v>
      </c>
    </row>
    <row r="386" spans="1:6" x14ac:dyDescent="0.2">
      <c r="A386" s="1" t="s">
        <v>388</v>
      </c>
      <c r="B386" s="3">
        <v>-0.23300000000000001</v>
      </c>
      <c r="C386" s="3" t="s">
        <v>12</v>
      </c>
      <c r="E386" t="e">
        <f>(#REF!)*#REF!</f>
        <v>#REF!</v>
      </c>
      <c r="F386" t="e">
        <f t="shared" si="15"/>
        <v>#REF!</v>
      </c>
    </row>
    <row r="387" spans="1:6" x14ac:dyDescent="0.2">
      <c r="A387" s="1" t="s">
        <v>389</v>
      </c>
      <c r="B387" s="3">
        <v>0.24</v>
      </c>
      <c r="C387" s="3" t="s">
        <v>13</v>
      </c>
      <c r="E387" t="e">
        <f>(#REF!)*#REF!</f>
        <v>#REF!</v>
      </c>
      <c r="F387" t="e">
        <f t="shared" si="15"/>
        <v>#REF!</v>
      </c>
    </row>
    <row r="388" spans="1:6" x14ac:dyDescent="0.2">
      <c r="A388" s="1" t="s">
        <v>390</v>
      </c>
      <c r="B388" s="3">
        <v>0.371</v>
      </c>
      <c r="C388" s="3" t="s">
        <v>13</v>
      </c>
      <c r="D388" t="s">
        <v>396</v>
      </c>
      <c r="E388" t="e">
        <f>(#REF!)*#REF!</f>
        <v>#REF!</v>
      </c>
      <c r="F388" t="e">
        <f t="shared" si="15"/>
        <v>#REF!</v>
      </c>
    </row>
    <row r="389" spans="1:6" x14ac:dyDescent="0.2">
      <c r="A389" s="1" t="s">
        <v>391</v>
      </c>
      <c r="B389" s="3">
        <v>0.153</v>
      </c>
      <c r="C389" s="3" t="s">
        <v>13</v>
      </c>
      <c r="E389" t="e">
        <f>(#REF!)*#REF!</f>
        <v>#REF!</v>
      </c>
      <c r="F389" t="e">
        <f t="shared" si="15"/>
        <v>#REF!</v>
      </c>
    </row>
    <row r="390" spans="1:6" x14ac:dyDescent="0.2">
      <c r="A390" s="1" t="s">
        <v>392</v>
      </c>
      <c r="B390" s="3">
        <v>-0.13800000000000001</v>
      </c>
      <c r="C390" s="3" t="s">
        <v>12</v>
      </c>
      <c r="E390" t="e">
        <f>(#REF!)*#REF!</f>
        <v>#REF!</v>
      </c>
      <c r="F390" t="e">
        <f t="shared" si="15"/>
        <v>#REF!</v>
      </c>
    </row>
    <row r="391" spans="1:6" x14ac:dyDescent="0.2">
      <c r="A391" s="1" t="s">
        <v>393</v>
      </c>
      <c r="B391" s="3">
        <v>-0.59</v>
      </c>
      <c r="C391" s="3" t="s">
        <v>12</v>
      </c>
      <c r="E391" t="e">
        <f>(#REF!)*#REF!</f>
        <v>#REF!</v>
      </c>
      <c r="F391" t="e">
        <f t="shared" si="15"/>
        <v>#REF!</v>
      </c>
    </row>
    <row r="392" spans="1:6" x14ac:dyDescent="0.2">
      <c r="A392" s="1" t="s">
        <v>394</v>
      </c>
      <c r="B392" s="3">
        <v>-5.8000000000000003E-2</v>
      </c>
      <c r="C392" s="3" t="s">
        <v>12</v>
      </c>
      <c r="E392" t="e">
        <f>(#REF!)*#REF!</f>
        <v>#REF!</v>
      </c>
      <c r="F392" t="e">
        <f t="shared" si="15"/>
        <v>#REF!</v>
      </c>
    </row>
    <row r="393" spans="1:6" x14ac:dyDescent="0.2">
      <c r="A393" s="1" t="s">
        <v>395</v>
      </c>
      <c r="B393" s="3">
        <v>-0.251</v>
      </c>
      <c r="C393" s="3" t="s">
        <v>12</v>
      </c>
      <c r="E393" t="e">
        <f>(#REF!)*#REF!</f>
        <v>#REF!</v>
      </c>
      <c r="F393" t="e">
        <f t="shared" si="15"/>
        <v>#REF!</v>
      </c>
    </row>
    <row r="394" spans="1:6" x14ac:dyDescent="0.2">
      <c r="A394" s="1" t="s">
        <v>397</v>
      </c>
      <c r="B394" s="3">
        <v>0.1</v>
      </c>
      <c r="C394" s="3" t="s">
        <v>13</v>
      </c>
      <c r="E394" t="e">
        <f>(#REF!)*#REF!</f>
        <v>#REF!</v>
      </c>
      <c r="F394" t="e">
        <f t="shared" si="15"/>
        <v>#REF!</v>
      </c>
    </row>
    <row r="395" spans="1:6" x14ac:dyDescent="0.2">
      <c r="A395" s="1" t="s">
        <v>398</v>
      </c>
      <c r="B395" s="3">
        <v>-0.126</v>
      </c>
      <c r="C395" s="3" t="s">
        <v>12</v>
      </c>
      <c r="E395" t="e">
        <f>(#REF!)*#REF!</f>
        <v>#REF!</v>
      </c>
      <c r="F395" t="e">
        <f t="shared" si="15"/>
        <v>#REF!</v>
      </c>
    </row>
    <row r="396" spans="1:6" x14ac:dyDescent="0.2">
      <c r="A396" s="1" t="s">
        <v>399</v>
      </c>
      <c r="B396" s="3">
        <v>0.26100000000000001</v>
      </c>
      <c r="C396" s="3" t="s">
        <v>13</v>
      </c>
      <c r="E396" t="e">
        <f>(#REF!)*#REF!</f>
        <v>#REF!</v>
      </c>
      <c r="F396" t="e">
        <f t="shared" si="15"/>
        <v>#REF!</v>
      </c>
    </row>
    <row r="397" spans="1:6" x14ac:dyDescent="0.2">
      <c r="A397" s="1" t="s">
        <v>400</v>
      </c>
      <c r="B397" s="3">
        <v>-7.8E-2</v>
      </c>
      <c r="C397" s="3" t="s">
        <v>12</v>
      </c>
      <c r="E397" t="e">
        <f>(#REF!)*#REF!</f>
        <v>#REF!</v>
      </c>
      <c r="F397" t="e">
        <f t="shared" si="15"/>
        <v>#REF!</v>
      </c>
    </row>
    <row r="398" spans="1:6" x14ac:dyDescent="0.2">
      <c r="A398" s="1" t="s">
        <v>401</v>
      </c>
      <c r="B398" s="3">
        <v>-5.6000000000000001E-2</v>
      </c>
      <c r="C398" s="3" t="s">
        <v>12</v>
      </c>
      <c r="E398" t="e">
        <f>(#REF!)*#REF!</f>
        <v>#REF!</v>
      </c>
      <c r="F398" t="e">
        <f t="shared" si="15"/>
        <v>#REF!</v>
      </c>
    </row>
    <row r="399" spans="1:6" x14ac:dyDescent="0.2">
      <c r="A399" s="1" t="s">
        <v>402</v>
      </c>
      <c r="B399" s="3">
        <v>-0.84099999999999997</v>
      </c>
      <c r="C399" s="3" t="s">
        <v>424</v>
      </c>
      <c r="D399" t="s">
        <v>363</v>
      </c>
      <c r="E399" t="e">
        <f>(#REF!)*#REF!</f>
        <v>#REF!</v>
      </c>
      <c r="F399" t="e">
        <f t="shared" si="15"/>
        <v>#REF!</v>
      </c>
    </row>
    <row r="400" spans="1:6" x14ac:dyDescent="0.2">
      <c r="A400" s="1" t="s">
        <v>403</v>
      </c>
      <c r="B400" s="3">
        <v>0.4</v>
      </c>
      <c r="C400" s="3" t="s">
        <v>13</v>
      </c>
      <c r="D400" t="s">
        <v>396</v>
      </c>
      <c r="E400" t="e">
        <f>(#REF!)*#REF!</f>
        <v>#REF!</v>
      </c>
      <c r="F400" t="e">
        <f t="shared" si="15"/>
        <v>#REF!</v>
      </c>
    </row>
    <row r="401" spans="1:6" x14ac:dyDescent="0.2">
      <c r="A401" s="1" t="s">
        <v>404</v>
      </c>
      <c r="B401" s="3">
        <v>0.35199999999999998</v>
      </c>
      <c r="C401" s="3" t="s">
        <v>13</v>
      </c>
      <c r="E401" t="e">
        <f>(#REF!)*#REF!</f>
        <v>#REF!</v>
      </c>
      <c r="F401" t="e">
        <f t="shared" si="15"/>
        <v>#REF!</v>
      </c>
    </row>
    <row r="402" spans="1:6" x14ac:dyDescent="0.2">
      <c r="A402" s="7" t="s">
        <v>405</v>
      </c>
      <c r="B402" s="3">
        <v>-0.14599999999999999</v>
      </c>
      <c r="C402" s="3" t="s">
        <v>12</v>
      </c>
      <c r="E402" t="e">
        <f>(#REF!)*#REF!</f>
        <v>#REF!</v>
      </c>
      <c r="F402" t="e">
        <f t="shared" si="15"/>
        <v>#REF!</v>
      </c>
    </row>
    <row r="403" spans="1:6" x14ac:dyDescent="0.2">
      <c r="A403" s="7" t="s">
        <v>406</v>
      </c>
      <c r="B403" s="3">
        <v>-0.16200000000000001</v>
      </c>
      <c r="C403" s="3" t="s">
        <v>12</v>
      </c>
      <c r="E403" t="e">
        <f>(#REF!)*#REF!</f>
        <v>#REF!</v>
      </c>
      <c r="F403" t="e">
        <f t="shared" si="15"/>
        <v>#REF!</v>
      </c>
    </row>
    <row r="404" spans="1:6" x14ac:dyDescent="0.2">
      <c r="A404" s="7" t="s">
        <v>407</v>
      </c>
      <c r="B404" s="3">
        <v>-0.55700000000000005</v>
      </c>
      <c r="C404" s="3" t="s">
        <v>12</v>
      </c>
      <c r="E404" t="e">
        <f>(#REF!)*#REF!</f>
        <v>#REF!</v>
      </c>
      <c r="F404" t="e">
        <f t="shared" si="15"/>
        <v>#REF!</v>
      </c>
    </row>
    <row r="405" spans="1:6" x14ac:dyDescent="0.2">
      <c r="A405" s="7" t="s">
        <v>408</v>
      </c>
      <c r="B405" s="3">
        <v>0.08</v>
      </c>
      <c r="C405" s="3" t="s">
        <v>13</v>
      </c>
      <c r="E405" t="e">
        <f>(#REF!)*#REF!</f>
        <v>#REF!</v>
      </c>
      <c r="F405" t="e">
        <f t="shared" si="15"/>
        <v>#REF!</v>
      </c>
    </row>
    <row r="406" spans="1:6" x14ac:dyDescent="0.2">
      <c r="A406" s="7" t="s">
        <v>409</v>
      </c>
      <c r="B406" s="3">
        <v>8.6999999999999994E-2</v>
      </c>
      <c r="C406" s="3" t="s">
        <v>13</v>
      </c>
      <c r="E406" t="e">
        <f>(#REF!)*#REF!</f>
        <v>#REF!</v>
      </c>
      <c r="F406" t="e">
        <f t="shared" si="15"/>
        <v>#REF!</v>
      </c>
    </row>
    <row r="407" spans="1:6" x14ac:dyDescent="0.2">
      <c r="A407" s="7" t="s">
        <v>410</v>
      </c>
      <c r="B407" s="3">
        <v>-4.4999999999999998E-2</v>
      </c>
      <c r="C407" s="3" t="s">
        <v>12</v>
      </c>
      <c r="D407" t="s">
        <v>363</v>
      </c>
      <c r="E407" t="e">
        <f>(#REF!)*#REF!</f>
        <v>#REF!</v>
      </c>
      <c r="F407" t="e">
        <f t="shared" si="15"/>
        <v>#REF!</v>
      </c>
    </row>
    <row r="408" spans="1:6" x14ac:dyDescent="0.2">
      <c r="A408" s="1" t="s">
        <v>411</v>
      </c>
      <c r="B408" s="3">
        <v>7.6999999999999999E-2</v>
      </c>
      <c r="C408" s="3" t="s">
        <v>13</v>
      </c>
      <c r="E408" t="e">
        <f>(#REF!)*#REF!</f>
        <v>#REF!</v>
      </c>
      <c r="F408" t="e">
        <f t="shared" si="15"/>
        <v>#REF!</v>
      </c>
    </row>
    <row r="409" spans="1:6" x14ac:dyDescent="0.2">
      <c r="A409" s="1" t="s">
        <v>412</v>
      </c>
      <c r="B409" s="3">
        <v>-0.51</v>
      </c>
      <c r="C409" s="3" t="s">
        <v>12</v>
      </c>
      <c r="E409" t="e">
        <f>(#REF!)*#REF!</f>
        <v>#REF!</v>
      </c>
      <c r="F409" t="e">
        <f t="shared" si="15"/>
        <v>#REF!</v>
      </c>
    </row>
    <row r="410" spans="1:6" x14ac:dyDescent="0.2">
      <c r="A410" s="1" t="s">
        <v>413</v>
      </c>
      <c r="B410" s="3">
        <v>-0.215</v>
      </c>
      <c r="C410" s="3" t="s">
        <v>12</v>
      </c>
      <c r="E410" t="e">
        <f>(#REF!)*#REF!</f>
        <v>#REF!</v>
      </c>
      <c r="F410" t="e">
        <f t="shared" si="15"/>
        <v>#REF!</v>
      </c>
    </row>
    <row r="411" spans="1:6" x14ac:dyDescent="0.2">
      <c r="A411" s="1" t="s">
        <v>414</v>
      </c>
      <c r="B411" s="3">
        <v>-0.66</v>
      </c>
      <c r="C411" s="3" t="s">
        <v>12</v>
      </c>
      <c r="E411" t="e">
        <f>(#REF!)*#REF!</f>
        <v>#REF!</v>
      </c>
      <c r="F411" t="e">
        <f t="shared" si="15"/>
        <v>#REF!</v>
      </c>
    </row>
    <row r="412" spans="1:6" x14ac:dyDescent="0.2">
      <c r="A412" s="1" t="s">
        <v>415</v>
      </c>
      <c r="B412" s="3">
        <v>0.53</v>
      </c>
      <c r="C412" s="3" t="s">
        <v>13</v>
      </c>
      <c r="E412" t="e">
        <f>(#REF!)*#REF!</f>
        <v>#REF!</v>
      </c>
      <c r="F412" t="e">
        <f t="shared" si="15"/>
        <v>#REF!</v>
      </c>
    </row>
    <row r="413" spans="1:6" x14ac:dyDescent="0.2">
      <c r="A413" s="1" t="s">
        <v>419</v>
      </c>
      <c r="B413" s="3">
        <v>0.35299999999999998</v>
      </c>
      <c r="C413" s="3" t="s">
        <v>13</v>
      </c>
      <c r="D413" t="s">
        <v>363</v>
      </c>
      <c r="E413" s="14" t="e">
        <f>(#REF!)*#REF!</f>
        <v>#REF!</v>
      </c>
      <c r="F413" t="e">
        <f t="shared" si="15"/>
        <v>#REF!</v>
      </c>
    </row>
    <row r="414" spans="1:6" x14ac:dyDescent="0.2">
      <c r="A414" s="1" t="s">
        <v>416</v>
      </c>
      <c r="B414" s="3">
        <v>-7.6999999999999999E-2</v>
      </c>
      <c r="C414" s="3" t="s">
        <v>12</v>
      </c>
      <c r="E414" t="e">
        <f>(#REF!)*#REF!</f>
        <v>#REF!</v>
      </c>
      <c r="F414" t="e">
        <f t="shared" si="15"/>
        <v>#REF!</v>
      </c>
    </row>
    <row r="415" spans="1:6" x14ac:dyDescent="0.2">
      <c r="A415" s="1" t="s">
        <v>417</v>
      </c>
      <c r="B415" s="3">
        <v>6.0000000000000001E-3</v>
      </c>
      <c r="C415" s="3" t="s">
        <v>13</v>
      </c>
      <c r="E415" t="e">
        <f>(#REF!)*#REF!</f>
        <v>#REF!</v>
      </c>
      <c r="F415" t="e">
        <f t="shared" si="15"/>
        <v>#REF!</v>
      </c>
    </row>
    <row r="416" spans="1:6" x14ac:dyDescent="0.2">
      <c r="A416" s="1" t="s">
        <v>418</v>
      </c>
      <c r="B416" s="3">
        <v>1.6E-2</v>
      </c>
      <c r="C416" s="3" t="s">
        <v>13</v>
      </c>
      <c r="E416" t="e">
        <f>(#REF!)*#REF!</f>
        <v>#REF!</v>
      </c>
      <c r="F416" t="e">
        <f t="shared" si="15"/>
        <v>#REF!</v>
      </c>
    </row>
    <row r="417" spans="1:6" x14ac:dyDescent="0.2">
      <c r="A417" s="1" t="s">
        <v>420</v>
      </c>
      <c r="B417" s="3">
        <v>0.30199999999999999</v>
      </c>
      <c r="C417" s="3" t="s">
        <v>13</v>
      </c>
      <c r="E417" t="e">
        <f>(#REF!)*#REF!</f>
        <v>#REF!</v>
      </c>
      <c r="F417" t="e">
        <f t="shared" si="15"/>
        <v>#REF!</v>
      </c>
    </row>
    <row r="418" spans="1:6" x14ac:dyDescent="0.2">
      <c r="A418" s="1" t="s">
        <v>421</v>
      </c>
      <c r="B418" s="3">
        <v>4.4999999999999998E-2</v>
      </c>
      <c r="C418" s="3" t="s">
        <v>13</v>
      </c>
      <c r="E418" t="e">
        <f>(#REF!)*#REF!</f>
        <v>#REF!</v>
      </c>
      <c r="F418" t="e">
        <f t="shared" si="15"/>
        <v>#REF!</v>
      </c>
    </row>
  </sheetData>
  <autoFilter ref="A2:D418" xr:uid="{00000000-0009-0000-0000-000001000000}"/>
  <conditionalFormatting sqref="B1:C1">
    <cfRule type="containsText" dxfId="5" priority="2" operator="containsText" text="nevyšetřeno">
      <formula>NOT(ISERROR(SEARCH("nevyšetřeno",B1)))</formula>
    </cfRule>
    <cfRule type="containsText" dxfId="4" priority="3" operator="containsText" text="mut">
      <formula>NOT(ISERROR(SEARCH("mut",B1)))</formula>
    </cfRule>
    <cfRule type="containsText" dxfId="3" priority="6" operator="containsText" text="mut">
      <formula>NOT(ISERROR(SEARCH("mut",B1)))</formula>
    </cfRule>
  </conditionalFormatting>
  <conditionalFormatting sqref="B1:C1">
    <cfRule type="containsText" dxfId="2" priority="4" operator="containsText" text="nevyšetřeno">
      <formula>NOT(ISERROR(SEARCH("nevyšetřeno",B1)))</formula>
    </cfRule>
    <cfRule type="containsText" dxfId="1" priority="5" operator="containsText" text="nelze">
      <formula>NOT(ISERROR(SEARCH("nelze",B1)))</formula>
    </cfRule>
  </conditionalFormatting>
  <conditionalFormatting sqref="B1:C1">
    <cfRule type="containsText" dxfId="0" priority="1" operator="containsText" text="mut">
      <formula>NOT(ISERROR(SEARCH("mut",B1)))</formula>
    </cfRule>
  </conditionalFormatting>
  <pageMargins left="0" right="0" top="0.78740157480314965" bottom="0.78740157480314965" header="0.31496062992125984" footer="0.31496062992125984"/>
  <pageSetup paperSize="9" scale="10" orientation="landscape" horizontalDpi="4294967294" r:id="rId1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Company>Masaryk Memorial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Mgr. Jitka Berkovcová, Ph.D.</dc:creator>
  <cp:lastModifiedBy>Microsoft Office User</cp:lastModifiedBy>
  <cp:lastPrinted>2024-10-08T11:12:53Z</cp:lastPrinted>
  <dcterms:created xsi:type="dcterms:W3CDTF">2023-03-21T12:53:33Z</dcterms:created>
  <dcterms:modified xsi:type="dcterms:W3CDTF">2025-10-27T09:12:43Z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2025-10-27T09:12:43Z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e165d0fc-bb77-4e40-a1fc-9e47d2ea7fc5</vt:lpwstr>
  </property>
  <property fmtid="{D5CDD505-2E9C-101B-9397-08002B2CF9AE}" pid="8" name="MSIP_Label_c8f49a32-fde3-48a5-9266-b5b0972a22dc_ContentBits">
    <vt:lpwstr>2</vt:lpwstr>
  </property>
</Properties>
</file>